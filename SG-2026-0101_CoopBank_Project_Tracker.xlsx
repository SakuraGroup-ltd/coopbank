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ubtasks" sheetId="3" state="visible" r:id="rId3"/>
    <sheet xmlns:r="http://schemas.openxmlformats.org/officeDocument/2006/relationships" name="Gantt" sheetId="4" state="visible" r:id="rId4"/>
    <sheet xmlns:r="http://schemas.openxmlformats.org/officeDocument/2006/relationships" name="Activity Log" sheetId="5" state="visible" r:id="rId5"/>
    <sheet xmlns:r="http://schemas.openxmlformats.org/officeDocument/2006/relationships" name="Stakeholders" sheetId="6" state="visible" r:id="rId6"/>
  </sheets>
  <definedNames>
    <definedName name="_xlnm._FilterDatabase" localSheetId="1" hidden="1">'Tasks'!$A$3:$K$66</definedName>
    <definedName name="_xlnm._FilterDatabase" localSheetId="2" hidden="1">'Subtasks'!$A$2:$F$163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0D3875"/>
      <sz val="16"/>
    </font>
    <font>
      <color rgb="0064748B"/>
      <sz val="11"/>
    </font>
    <font>
      <b val="1"/>
      <color rgb="0064748B"/>
      <sz val="9"/>
    </font>
    <font>
      <b val="1"/>
      <color rgb="000D3875"/>
      <sz val="20"/>
    </font>
    <font>
      <b val="1"/>
      <color rgb="000D3875"/>
      <sz val="14"/>
    </font>
    <font>
      <b val="1"/>
      <color rgb="00FFFFFF"/>
      <sz val="10"/>
    </font>
    <font>
      <b val="1"/>
      <sz val="10"/>
    </font>
    <font>
      <b val="1"/>
      <color rgb="00DC2626"/>
      <sz val="14"/>
    </font>
    <font>
      <b val="1"/>
      <color rgb="00991B1B"/>
    </font>
    <font>
      <i val="1"/>
      <color rgb="0094A3B8"/>
      <sz val="9"/>
    </font>
    <font>
      <b val="1"/>
      <color rgb="00854D0E"/>
    </font>
    <font>
      <b val="1"/>
      <color rgb="0092400E"/>
    </font>
    <font>
      <b val="1"/>
      <color rgb="00475569"/>
    </font>
    <font>
      <b val="1"/>
      <color rgb="00166534"/>
    </font>
    <font>
      <b val="1"/>
      <color rgb="0094A3B8"/>
    </font>
    <font>
      <b val="1"/>
      <color rgb="000D3875"/>
      <sz val="10"/>
    </font>
    <font>
      <b val="1"/>
      <color rgb="00FFFFFF"/>
      <sz val="7"/>
    </font>
    <font>
      <b val="1"/>
      <color rgb="000D3875"/>
      <sz val="9"/>
    </font>
    <font>
      <color rgb="00FFFFFF"/>
    </font>
    <font>
      <sz val="9"/>
    </font>
    <font>
      <sz val="8"/>
    </font>
    <font>
      <b val="1"/>
      <color rgb="00166534"/>
      <sz val="8"/>
    </font>
    <font>
      <b val="1"/>
      <color rgb="00475569"/>
      <sz val="8"/>
    </font>
    <font>
      <b val="1"/>
      <color rgb="00991B1B"/>
      <sz val="8"/>
    </font>
    <font>
      <b val="1"/>
      <color rgb="000D3875"/>
    </font>
    <font>
      <b val="1"/>
      <color rgb="00DC2626"/>
    </font>
  </fonts>
  <fills count="18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0D3875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1E3A5F"/>
      </patternFill>
    </fill>
    <fill>
      <patternFill patternType="solid">
        <fgColor rgb="0086EFAC"/>
      </patternFill>
    </fill>
    <fill>
      <patternFill patternType="solid">
        <fgColor rgb="00BBF7D0"/>
      </patternFill>
    </fill>
    <fill>
      <patternFill patternType="solid">
        <fgColor rgb="00BFDBFE"/>
      </patternFill>
    </fill>
    <fill>
      <patternFill patternType="solid">
        <fgColor rgb="00C7D2FE"/>
      </patternFill>
    </fill>
    <fill>
      <patternFill patternType="solid">
        <fgColor rgb="00FECACA"/>
      </patternFill>
    </fill>
    <fill>
      <patternFill patternType="solid">
        <fgColor rgb="00DDD6FE"/>
      </patternFill>
    </fill>
    <fill>
      <patternFill patternType="solid">
        <fgColor rgb="00FCA5A5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DC2626"/>
      </left>
      <right style="medium">
        <color rgb="00DC2626"/>
      </right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0" fontId="11" fillId="6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14" fillId="9" borderId="1" applyAlignment="1" pivotButton="0" quotePrefix="0" xfId="0">
      <alignment vertical="center" wrapText="1"/>
    </xf>
    <xf numFmtId="0" fontId="15" fillId="2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6" fillId="2" borderId="1" applyAlignment="1" pivotButton="0" quotePrefix="0" xfId="0">
      <alignment vertical="center" wrapText="1"/>
    </xf>
    <xf numFmtId="0" fontId="18" fillId="0" borderId="0" pivotButton="0" quotePrefix="0" xfId="0"/>
    <xf numFmtId="0" fontId="6" fillId="3" borderId="0" pivotButton="0" quotePrefix="0" xfId="0"/>
    <xf numFmtId="0" fontId="17" fillId="3" borderId="0" applyAlignment="1" pivotButton="0" quotePrefix="0" xfId="0">
      <alignment horizontal="center"/>
    </xf>
    <xf numFmtId="0" fontId="17" fillId="10" borderId="0" applyAlignment="1" pivotButton="0" quotePrefix="0" xfId="0">
      <alignment horizontal="center"/>
    </xf>
    <xf numFmtId="0" fontId="17" fillId="3" borderId="2" applyAlignment="1" pivotButton="0" quotePrefix="0" xfId="0">
      <alignment horizontal="center"/>
    </xf>
    <xf numFmtId="0" fontId="19" fillId="3" borderId="0" pivotButton="0" quotePrefix="0" xfId="0"/>
    <xf numFmtId="0" fontId="0" fillId="0" borderId="2" pivotButton="0" quotePrefix="0" xfId="0"/>
    <xf numFmtId="0" fontId="20" fillId="0" borderId="0" pivotButton="0" quotePrefix="0" xfId="0"/>
    <xf numFmtId="0" fontId="22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2" borderId="2" pivotButton="0" quotePrefix="0" xfId="0"/>
    <xf numFmtId="0" fontId="0" fillId="11" borderId="2" pivotButton="0" quotePrefix="0" xfId="0"/>
    <xf numFmtId="0" fontId="23" fillId="8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24" fillId="5" borderId="0" pivotButton="0" quotePrefix="0" xfId="0"/>
    <xf numFmtId="0" fontId="0" fillId="15" borderId="2" pivotButton="0" quotePrefix="0" xfId="0"/>
    <xf numFmtId="0" fontId="0" fillId="15" borderId="0" pivotButton="0" quotePrefix="0" xfId="0"/>
    <xf numFmtId="0" fontId="0" fillId="7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25" fillId="2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  <xf numFmtId="0" fontId="26" fillId="2" borderId="1" applyAlignment="1" pivotButton="0" quotePrefix="0" xfId="0">
      <alignment vertical="center" wrapText="1"/>
    </xf>
  </cellXfs>
  <cellStyles count="1">
    <cellStyle name="Normal" xfId="0" builtinId="0" hidden="0"/>
  </cellStyles>
  <dxfs count="10"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1E40AF"/>
      </font>
      <fill>
        <patternFill patternType="solid">
          <fgColor rgb="00DBEAFE"/>
        </patternFill>
      </fill>
    </dxf>
    <dxf>
      <font>
        <b val="1"/>
        <color rgb="00475569"/>
      </font>
      <fill>
        <patternFill patternType="solid">
          <fgColor rgb="00F1F5F9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854D0E"/>
      </font>
      <fill>
        <patternFill patternType="solid">
          <fgColor rgb="00FEF9C3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6B21A8"/>
      </font>
      <fill>
        <patternFill patternType="solid">
          <fgColor rgb="00F3E8FF"/>
        </patternFill>
      </fill>
    </dxf>
    <dxf>
      <font>
        <b val="1"/>
        <color rgb="0064748B"/>
      </font>
      <fill>
        <patternFill patternType="solid">
          <fgColor rgb="00F1F5F9"/>
        </patternFill>
      </fill>
    </dxf>
    <dxf>
      <font>
        <b val="1"/>
        <color rgb="0094A3B8"/>
      </font>
      <fill>
        <patternFill patternType="solid">
          <fgColor rgb="00F8FAFC"/>
        </patternFill>
      </fill>
    </dxf>
    <dxf>
      <font>
        <strike val="1"/>
        <color rgb="0094A3B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875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>
      <c r="B1" s="1" t="inlineStr">
        <is>
          <t>CoopBank Website Redesign</t>
        </is>
      </c>
    </row>
    <row r="2">
      <c r="B2" s="2" t="inlineStr">
        <is>
          <t>SG-2026-0101 | Cooperative Bank Tanzania Plc.</t>
        </is>
      </c>
    </row>
    <row r="4">
      <c r="B4" s="3" t="inlineStr">
        <is>
          <t>Total Tasks</t>
        </is>
      </c>
      <c r="C4" s="3" t="inlineStr">
        <is>
          <t>Completed</t>
        </is>
      </c>
      <c r="D4" s="3" t="inlineStr">
        <is>
          <t>In Progress</t>
        </is>
      </c>
      <c r="E4" s="3" t="inlineStr">
        <is>
          <t>Blocked/Awaiting</t>
        </is>
      </c>
      <c r="F4" s="3" t="inlineStr">
        <is>
          <t>Completion %</t>
        </is>
      </c>
    </row>
    <row r="5">
      <c r="B5" s="4">
        <f>COUNTA(Tasks!A4:A200)</f>
        <v/>
      </c>
      <c r="C5" s="4">
        <f>COUNTIF(Tasks!E4:E200,"Complete")</f>
        <v/>
      </c>
      <c r="D5" s="4">
        <f>COUNTIF(Tasks!E4:E200,"In Progress")</f>
        <v/>
      </c>
      <c r="E5" s="4">
        <f>COUNTIF(Tasks!E4:E200,"Blocked")+COUNTIF(Tasks!E4:E200,"Awaiting Client")</f>
        <v/>
      </c>
      <c r="F5" s="4">
        <f>IFERROR(ROUND(COUNTIF(Tasks!E4:E200,"Complete")/COUNTA(Tasks!E4:E200)*100,1)&amp;"%","0%")</f>
        <v/>
      </c>
    </row>
    <row r="7">
      <c r="B7" s="5" t="inlineStr">
        <is>
          <t>Milestone Progress</t>
        </is>
      </c>
    </row>
    <row r="8">
      <c r="A8" s="6" t="n"/>
      <c r="B8" s="6" t="inlineStr">
        <is>
          <t>Milestone</t>
        </is>
      </c>
      <c r="C8" s="6" t="inlineStr">
        <is>
          <t>Total</t>
        </is>
      </c>
      <c r="D8" s="6" t="inlineStr">
        <is>
          <t>Done</t>
        </is>
      </c>
      <c r="E8" s="6" t="inlineStr">
        <is>
          <t>In Progress</t>
        </is>
      </c>
      <c r="F8" s="6" t="inlineStr">
        <is>
          <t>Blocked</t>
        </is>
      </c>
      <c r="G8" s="6" t="inlineStr">
        <is>
          <t>Progress</t>
        </is>
      </c>
      <c r="H8" s="6" t="inlineStr">
        <is>
          <t>Status</t>
        </is>
      </c>
    </row>
    <row r="9">
      <c r="A9" s="7" t="n"/>
      <c r="B9" s="8" t="inlineStr">
        <is>
          <t>PM &amp; Admin</t>
        </is>
      </c>
      <c r="C9" s="7">
        <f>COUNTIF(Tasks!C4:C200,B9)</f>
        <v/>
      </c>
      <c r="D9" s="7">
        <f>COUNTIFS(Tasks!C4:C200,B9,Tasks!E4:E200,"Complete")</f>
        <v/>
      </c>
      <c r="E9" s="7">
        <f>COUNTIFS(Tasks!C4:C200,B9,Tasks!E4:E200,"In Progress")</f>
        <v/>
      </c>
      <c r="F9" s="7">
        <f>COUNTIFS(Tasks!C4:C200,B9,Tasks!E4:E200,"Blocked")+COUNTIFS(Tasks!C4:C200,B9,Tasks!E4:E200,"Awaiting Client")</f>
        <v/>
      </c>
      <c r="G9" s="7">
        <f>IFERROR(ROUND(D9/C9*100,0)&amp;"%","0%")</f>
        <v/>
      </c>
      <c r="H9" s="7">
        <f>IF(G9="100%","Done",IF(E9&gt;0,"Active",IF(F9&gt;0,"Blocked","Pending")))</f>
        <v/>
      </c>
    </row>
    <row r="10">
      <c r="A10" s="9" t="n"/>
      <c r="B10" s="10" t="inlineStr">
        <is>
          <t>Discovery &amp; Planning</t>
        </is>
      </c>
      <c r="C10" s="9">
        <f>COUNTIF(Tasks!C4:C200,B10)</f>
        <v/>
      </c>
      <c r="D10" s="9">
        <f>COUNTIFS(Tasks!C4:C200,B10,Tasks!E4:E200,"Complete")</f>
        <v/>
      </c>
      <c r="E10" s="9">
        <f>COUNTIFS(Tasks!C4:C200,B10,Tasks!E4:E200,"In Progress")</f>
        <v/>
      </c>
      <c r="F10" s="9">
        <f>COUNTIFS(Tasks!C4:C200,B10,Tasks!E4:E200,"Blocked")+COUNTIFS(Tasks!C4:C200,B10,Tasks!E4:E200,"Awaiting Client")</f>
        <v/>
      </c>
      <c r="G10" s="9">
        <f>IFERROR(ROUND(D10/C10*100,0)&amp;"%","0%")</f>
        <v/>
      </c>
      <c r="H10" s="9">
        <f>IF(G10="100%","Done",IF(E10&gt;0,"Active",IF(F10&gt;0,"Blocked","Pending")))</f>
        <v/>
      </c>
    </row>
    <row r="11">
      <c r="A11" s="7" t="n"/>
      <c r="B11" s="8" t="inlineStr">
        <is>
          <t>Design &amp; Build</t>
        </is>
      </c>
      <c r="C11" s="7">
        <f>COUNTIF(Tasks!C4:C200,B11)</f>
        <v/>
      </c>
      <c r="D11" s="7">
        <f>COUNTIFS(Tasks!C4:C200,B11,Tasks!E4:E200,"Complete")</f>
        <v/>
      </c>
      <c r="E11" s="7">
        <f>COUNTIFS(Tasks!C4:C200,B11,Tasks!E4:E200,"In Progress")</f>
        <v/>
      </c>
      <c r="F11" s="7">
        <f>COUNTIFS(Tasks!C4:C200,B11,Tasks!E4:E200,"Blocked")+COUNTIFS(Tasks!C4:C200,B11,Tasks!E4:E200,"Awaiting Client")</f>
        <v/>
      </c>
      <c r="G11" s="7">
        <f>IFERROR(ROUND(D11/C11*100,0)&amp;"%","0%")</f>
        <v/>
      </c>
      <c r="H11" s="7">
        <f>IF(G11="100%","Done",IF(E11&gt;0,"Active",IF(F11&gt;0,"Blocked","Pending")))</f>
        <v/>
      </c>
    </row>
    <row r="12">
      <c r="A12" s="9" t="n"/>
      <c r="B12" s="10" t="inlineStr">
        <is>
          <t>Client Review &amp; Revisions</t>
        </is>
      </c>
      <c r="C12" s="9">
        <f>COUNTIF(Tasks!C4:C200,B12)</f>
        <v/>
      </c>
      <c r="D12" s="9">
        <f>COUNTIFS(Tasks!C4:C200,B12,Tasks!E4:E200,"Complete")</f>
        <v/>
      </c>
      <c r="E12" s="9">
        <f>COUNTIFS(Tasks!C4:C200,B12,Tasks!E4:E200,"In Progress")</f>
        <v/>
      </c>
      <c r="F12" s="9">
        <f>COUNTIFS(Tasks!C4:C200,B12,Tasks!E4:E200,"Blocked")+COUNTIFS(Tasks!C4:C200,B12,Tasks!E4:E200,"Awaiting Client")</f>
        <v/>
      </c>
      <c r="G12" s="9">
        <f>IFERROR(ROUND(D12/C12*100,0)&amp;"%","0%")</f>
        <v/>
      </c>
      <c r="H12" s="9">
        <f>IF(G12="100%","Done",IF(E12&gt;0,"Active",IF(F12&gt;0,"Blocked","Pending")))</f>
        <v/>
      </c>
    </row>
    <row r="13">
      <c r="A13" s="7" t="n"/>
      <c r="B13" s="8" t="inlineStr">
        <is>
          <t>Content &amp; Localization</t>
        </is>
      </c>
      <c r="C13" s="7">
        <f>COUNTIF(Tasks!C4:C200,B13)</f>
        <v/>
      </c>
      <c r="D13" s="7">
        <f>COUNTIFS(Tasks!C4:C200,B13,Tasks!E4:E200,"Complete")</f>
        <v/>
      </c>
      <c r="E13" s="7">
        <f>COUNTIFS(Tasks!C4:C200,B13,Tasks!E4:E200,"In Progress")</f>
        <v/>
      </c>
      <c r="F13" s="7">
        <f>COUNTIFS(Tasks!C4:C200,B13,Tasks!E4:E200,"Blocked")+COUNTIFS(Tasks!C4:C200,B13,Tasks!E4:E200,"Awaiting Client")</f>
        <v/>
      </c>
      <c r="G13" s="7">
        <f>IFERROR(ROUND(D13/C13*100,0)&amp;"%","0%")</f>
        <v/>
      </c>
      <c r="H13" s="7">
        <f>IF(G13="100%","Done",IF(E13&gt;0,"Active",IF(F13&gt;0,"Blocked","Pending")))</f>
        <v/>
      </c>
    </row>
    <row r="14">
      <c r="A14" s="9" t="n"/>
      <c r="B14" s="10" t="inlineStr">
        <is>
          <t>Testing &amp; QA</t>
        </is>
      </c>
      <c r="C14" s="9">
        <f>COUNTIF(Tasks!C4:C200,B14)</f>
        <v/>
      </c>
      <c r="D14" s="9">
        <f>COUNTIFS(Tasks!C4:C200,B14,Tasks!E4:E200,"Complete")</f>
        <v/>
      </c>
      <c r="E14" s="9">
        <f>COUNTIFS(Tasks!C4:C200,B14,Tasks!E4:E200,"In Progress")</f>
        <v/>
      </c>
      <c r="F14" s="9">
        <f>COUNTIFS(Tasks!C4:C200,B14,Tasks!E4:E200,"Blocked")+COUNTIFS(Tasks!C4:C200,B14,Tasks!E4:E200,"Awaiting Client")</f>
        <v/>
      </c>
      <c r="G14" s="9">
        <f>IFERROR(ROUND(D14/C14*100,0)&amp;"%","0%")</f>
        <v/>
      </c>
      <c r="H14" s="9">
        <f>IF(G14="100%","Done",IF(E14&gt;0,"Active",IF(F14&gt;0,"Blocked","Pending")))</f>
        <v/>
      </c>
    </row>
    <row r="15">
      <c r="A15" s="7" t="n"/>
      <c r="B15" s="8" t="inlineStr">
        <is>
          <t>Go-Live &amp; Handover</t>
        </is>
      </c>
      <c r="C15" s="7">
        <f>COUNTIF(Tasks!C4:C200,B15)</f>
        <v/>
      </c>
      <c r="D15" s="7">
        <f>COUNTIFS(Tasks!C4:C200,B15,Tasks!E4:E200,"Complete")</f>
        <v/>
      </c>
      <c r="E15" s="7">
        <f>COUNTIFS(Tasks!C4:C200,B15,Tasks!E4:E200,"In Progress")</f>
        <v/>
      </c>
      <c r="F15" s="7">
        <f>COUNTIFS(Tasks!C4:C200,B15,Tasks!E4:E200,"Blocked")+COUNTIFS(Tasks!C4:C200,B15,Tasks!E4:E200,"Awaiting Client")</f>
        <v/>
      </c>
      <c r="G15" s="7">
        <f>IFERROR(ROUND(D15/C15*100,0)&amp;"%","0%")</f>
        <v/>
      </c>
      <c r="H15" s="7">
        <f>IF(G15="100%","Done",IF(E15&gt;0,"Active",IF(F15&gt;0,"Blocked","Pending")))</f>
        <v/>
      </c>
    </row>
    <row r="18">
      <c r="B18" s="11" t="inlineStr">
        <is>
          <t>Items Blocked on Client</t>
        </is>
      </c>
    </row>
    <row r="19">
      <c r="B19" s="12" t="inlineStr">
        <is>
          <t>Task</t>
        </is>
      </c>
      <c r="C19" s="12" t="inlineStr">
        <is>
          <t>Tags</t>
        </is>
      </c>
      <c r="D19" s="12" t="inlineStr">
        <is>
          <t>Status</t>
        </is>
      </c>
      <c r="E19" s="12" t="inlineStr">
        <is>
          <t>Blocker Description</t>
        </is>
      </c>
    </row>
    <row r="20">
      <c r="B20">
        <f>IFERROR(FILTER(Tasks!B4:B200, Tasks!E4:E200="Awaiting Client"), "No items awaiting client")</f>
        <v/>
      </c>
      <c r="C20">
        <f>IFERROR(FILTER(Tasks!F4:F200, Tasks!E4:E200="Awaiting Client"),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8A3A"/>
    <outlinePr summaryBelow="1" summaryRight="1"/>
    <pageSetUpPr/>
  </sheetPr>
  <dimension ref="A1:K6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28" customWidth="1" min="3" max="3"/>
    <col width="24" customWidth="1" min="4" max="4"/>
    <col width="17" customWidth="1" min="5" max="5"/>
    <col width="22" customWidth="1" min="6" max="6"/>
    <col width="11" customWidth="1" min="7" max="7"/>
    <col width="13" customWidth="1" min="8" max="8"/>
    <col width="13" customWidth="1" min="9" max="9"/>
    <col width="12" customWidth="1" min="10" max="10"/>
    <col width="48" customWidth="1" min="11" max="11"/>
  </cols>
  <sheetData>
    <row r="1">
      <c r="A1" s="1" t="inlineStr">
        <is>
          <t>SG-2026-0101 — CoopBank Task Tracker</t>
        </is>
      </c>
    </row>
    <row r="2">
      <c r="A2" s="13" t="inlineStr">
        <is>
          <t>Use Status dropdown to update. Changes auto-color. Tags are comma-separated. Subtasks link to Subtasks tab.</t>
        </is>
      </c>
    </row>
    <row r="3">
      <c r="A3" s="6" t="inlineStr">
        <is>
          <t>ID</t>
        </is>
      </c>
      <c r="B3" s="6" t="inlineStr">
        <is>
          <t>Task Name</t>
        </is>
      </c>
      <c r="C3" s="6" t="inlineStr">
        <is>
          <t>Milestone</t>
        </is>
      </c>
      <c r="D3" s="6" t="inlineStr">
        <is>
          <t>Owner</t>
        </is>
      </c>
      <c r="E3" s="6" t="inlineStr">
        <is>
          <t>Status</t>
        </is>
      </c>
      <c r="F3" s="6" t="inlineStr">
        <is>
          <t>Tags</t>
        </is>
      </c>
      <c r="G3" s="6" t="inlineStr">
        <is>
          <t>Priority</t>
        </is>
      </c>
      <c r="H3" s="6" t="inlineStr">
        <is>
          <t>Start Date</t>
        </is>
      </c>
      <c r="I3" s="6" t="inlineStr">
        <is>
          <t>Due Date</t>
        </is>
      </c>
      <c r="J3" s="6" t="inlineStr">
        <is>
          <t>Subtasks</t>
        </is>
      </c>
      <c r="K3" s="6" t="inlineStr">
        <is>
          <t>Dependencies / Notes</t>
        </is>
      </c>
    </row>
    <row r="4">
      <c r="A4" s="7" t="n">
        <v>77</v>
      </c>
      <c r="B4" s="7" t="inlineStr">
        <is>
          <t>Weekly Client Status Update (CoopBank)</t>
        </is>
      </c>
      <c r="C4" s="7" t="inlineStr">
        <is>
          <t>PM &amp; Admin</t>
        </is>
      </c>
      <c r="D4" s="7" t="inlineStr">
        <is>
          <t>Neema</t>
        </is>
      </c>
      <c r="E4" s="14" t="inlineStr">
        <is>
          <t>Awaiting Feedback</t>
        </is>
      </c>
      <c r="F4" s="7" t="inlineStr">
        <is>
          <t>Recurring</t>
        </is>
      </c>
      <c r="G4" s="15" t="inlineStr">
        <is>
          <t>High</t>
        </is>
      </c>
      <c r="H4" s="7" t="inlineStr">
        <is>
          <t>2026-03-18</t>
        </is>
      </c>
      <c r="I4" s="7" t="inlineStr">
        <is>
          <t>2026-04-25</t>
        </is>
      </c>
      <c r="J4" s="7" t="inlineStr"/>
      <c r="K4" s="7" t="inlineStr">
        <is>
          <t>Weekly cadence</t>
        </is>
      </c>
    </row>
    <row r="5">
      <c r="A5" s="9" t="n">
        <v>78</v>
      </c>
      <c r="B5" s="9" t="inlineStr">
        <is>
          <t>Invoice Preparation &amp; Payment Follow-up</t>
        </is>
      </c>
      <c r="C5" s="9" t="inlineStr">
        <is>
          <t>PM &amp; Admin</t>
        </is>
      </c>
      <c r="D5" s="9" t="inlineStr">
        <is>
          <t>Neema</t>
        </is>
      </c>
      <c r="E5" s="16" t="inlineStr">
        <is>
          <t>Not Started</t>
        </is>
      </c>
      <c r="F5" s="9" t="inlineStr">
        <is>
          <t>Finance</t>
        </is>
      </c>
      <c r="G5" s="15" t="inlineStr">
        <is>
          <t>High</t>
        </is>
      </c>
      <c r="H5" s="9" t="inlineStr">
        <is>
          <t>2026-03-20</t>
        </is>
      </c>
      <c r="I5" s="9" t="inlineStr">
        <is>
          <t>2026-04-25</t>
        </is>
      </c>
      <c r="J5" s="9" t="inlineStr"/>
      <c r="K5" s="9" t="inlineStr">
        <is>
          <t>40% commencement due</t>
        </is>
      </c>
    </row>
    <row r="6">
      <c r="A6" s="7" t="n">
        <v>79</v>
      </c>
      <c r="B6" s="7" t="inlineStr">
        <is>
          <t>Project Timeline &amp; Risk Management</t>
        </is>
      </c>
      <c r="C6" s="7" t="inlineStr">
        <is>
          <t>PM &amp; Admin</t>
        </is>
      </c>
      <c r="D6" s="7" t="inlineStr">
        <is>
          <t>Neema</t>
        </is>
      </c>
      <c r="E6" s="14" t="inlineStr">
        <is>
          <t>Awaiting Feedback</t>
        </is>
      </c>
      <c r="F6" s="7" t="inlineStr">
        <is>
          <t>PM</t>
        </is>
      </c>
      <c r="G6" s="15" t="inlineStr">
        <is>
          <t>High</t>
        </is>
      </c>
      <c r="H6" s="7" t="inlineStr">
        <is>
          <t>2026-03-18</t>
        </is>
      </c>
      <c r="I6" s="7" t="inlineStr">
        <is>
          <t>2026-04-25</t>
        </is>
      </c>
      <c r="J6" s="7" t="inlineStr"/>
      <c r="K6" s="7" t="inlineStr"/>
    </row>
    <row r="7">
      <c r="A7" s="9" t="n">
        <v>80</v>
      </c>
      <c r="B7" s="9" t="inlineStr">
        <is>
          <t>Client Communication &amp; Meeting Coordination</t>
        </is>
      </c>
      <c r="C7" s="9" t="inlineStr">
        <is>
          <t>PM &amp; Admin</t>
        </is>
      </c>
      <c r="D7" s="9" t="inlineStr">
        <is>
          <t>Neema</t>
        </is>
      </c>
      <c r="E7" s="14" t="inlineStr">
        <is>
          <t>Awaiting Feedback</t>
        </is>
      </c>
      <c r="F7" s="9" t="inlineStr">
        <is>
          <t>PM</t>
        </is>
      </c>
      <c r="G7" s="15" t="inlineStr">
        <is>
          <t>High</t>
        </is>
      </c>
      <c r="H7" s="9" t="inlineStr">
        <is>
          <t>2026-03-18</t>
        </is>
      </c>
      <c r="I7" s="9" t="inlineStr">
        <is>
          <t>2026-04-25</t>
        </is>
      </c>
      <c r="J7" s="9" t="inlineStr"/>
      <c r="K7" s="9" t="inlineStr"/>
    </row>
    <row r="8">
      <c r="A8" s="7" t="n">
        <v>81</v>
      </c>
      <c r="B8" s="7" t="inlineStr">
        <is>
          <t>Contract &amp; Scope Documentation</t>
        </is>
      </c>
      <c r="C8" s="7" t="inlineStr">
        <is>
          <t>PM &amp; Admin</t>
        </is>
      </c>
      <c r="D8" s="7" t="inlineStr">
        <is>
          <t>Neema</t>
        </is>
      </c>
      <c r="E8" s="14" t="inlineStr">
        <is>
          <t>Awaiting Feedback</t>
        </is>
      </c>
      <c r="F8" s="7" t="inlineStr">
        <is>
          <t>Legal</t>
        </is>
      </c>
      <c r="G8" s="15" t="inlineStr">
        <is>
          <t>High</t>
        </is>
      </c>
      <c r="H8" s="7" t="inlineStr">
        <is>
          <t>2026-03-20</t>
        </is>
      </c>
      <c r="I8" s="7" t="inlineStr">
        <is>
          <t>2026-03-22</t>
        </is>
      </c>
      <c r="J8" s="7" t="inlineStr"/>
      <c r="K8" s="7" t="inlineStr"/>
    </row>
    <row r="9">
      <c r="A9" s="9" t="n">
        <v>48</v>
      </c>
      <c r="B9" s="9" t="inlineStr">
        <is>
          <t>Discovery &amp; Stakeholder Requirements</t>
        </is>
      </c>
      <c r="C9" s="9" t="inlineStr">
        <is>
          <t>Discovery &amp; Planning</t>
        </is>
      </c>
      <c r="D9" s="9" t="inlineStr">
        <is>
          <t>Jumbe + Neema</t>
        </is>
      </c>
      <c r="E9" s="17" t="inlineStr">
        <is>
          <t>Complete</t>
        </is>
      </c>
      <c r="F9" s="9" t="inlineStr">
        <is>
          <t>Research</t>
        </is>
      </c>
      <c r="G9" s="16" t="inlineStr">
        <is>
          <t>Medium</t>
        </is>
      </c>
      <c r="H9" s="9" t="inlineStr">
        <is>
          <t>2026-03-06</t>
        </is>
      </c>
      <c r="I9" s="9" t="inlineStr">
        <is>
          <t>2026-03-08</t>
        </is>
      </c>
      <c r="J9" s="9" t="inlineStr"/>
      <c r="K9" s="9" t="inlineStr"/>
    </row>
    <row r="10">
      <c r="A10" s="7" t="n">
        <v>49</v>
      </c>
      <c r="B10" s="7" t="inlineStr">
        <is>
          <t>Competitor Analysis (NMB, CRDB, NBC, Stanbic)</t>
        </is>
      </c>
      <c r="C10" s="7" t="inlineStr">
        <is>
          <t>Discovery &amp; Planning</t>
        </is>
      </c>
      <c r="D10" s="7" t="inlineStr">
        <is>
          <t>Jumbe + Neema</t>
        </is>
      </c>
      <c r="E10" s="17" t="inlineStr">
        <is>
          <t>Complete</t>
        </is>
      </c>
      <c r="F10" s="7" t="inlineStr">
        <is>
          <t>Research</t>
        </is>
      </c>
      <c r="G10" s="16" t="inlineStr">
        <is>
          <t>Medium</t>
        </is>
      </c>
      <c r="H10" s="7" t="inlineStr">
        <is>
          <t>2026-03-07</t>
        </is>
      </c>
      <c r="I10" s="7" t="inlineStr">
        <is>
          <t>2026-03-09</t>
        </is>
      </c>
      <c r="J10" s="7" t="inlineStr"/>
      <c r="K10" s="7" t="inlineStr"/>
    </row>
    <row r="11">
      <c r="A11" s="9" t="n">
        <v>50</v>
      </c>
      <c r="B11" s="9" t="inlineStr">
        <is>
          <t>Sitemap &amp; Information Architecture</t>
        </is>
      </c>
      <c r="C11" s="9" t="inlineStr">
        <is>
          <t>Discovery &amp; Planning</t>
        </is>
      </c>
      <c r="D11" s="9" t="inlineStr">
        <is>
          <t>Jumbe + Neema</t>
        </is>
      </c>
      <c r="E11" s="17" t="inlineStr">
        <is>
          <t>Complete</t>
        </is>
      </c>
      <c r="F11" s="9" t="inlineStr">
        <is>
          <t>UX</t>
        </is>
      </c>
      <c r="G11" s="16" t="inlineStr">
        <is>
          <t>Medium</t>
        </is>
      </c>
      <c r="H11" s="9" t="inlineStr">
        <is>
          <t>2026-03-08</t>
        </is>
      </c>
      <c r="I11" s="9" t="inlineStr">
        <is>
          <t>2026-03-10</t>
        </is>
      </c>
      <c r="J11" s="9" t="inlineStr"/>
      <c r="K11" s="9" t="inlineStr"/>
    </row>
    <row r="12">
      <c r="A12" s="7" t="n">
        <v>51</v>
      </c>
      <c r="B12" s="7" t="inlineStr">
        <is>
          <t>Brand Asset Collection</t>
        </is>
      </c>
      <c r="C12" s="7" t="inlineStr">
        <is>
          <t>Discovery &amp; Planning</t>
        </is>
      </c>
      <c r="D12" s="7" t="inlineStr">
        <is>
          <t>Neema</t>
        </is>
      </c>
      <c r="E12" s="17" t="inlineStr">
        <is>
          <t>Complete</t>
        </is>
      </c>
      <c r="F12" s="7" t="inlineStr">
        <is>
          <t>Design</t>
        </is>
      </c>
      <c r="G12" s="16" t="inlineStr">
        <is>
          <t>Medium</t>
        </is>
      </c>
      <c r="H12" s="7" t="inlineStr">
        <is>
          <t>2026-03-08</t>
        </is>
      </c>
      <c r="I12" s="7" t="inlineStr">
        <is>
          <t>2026-03-11</t>
        </is>
      </c>
      <c r="J12" s="7" t="inlineStr"/>
      <c r="K12" s="7" t="inlineStr"/>
    </row>
    <row r="13">
      <c r="A13" s="9" t="n">
        <v>52</v>
      </c>
      <c r="B13" s="9" t="inlineStr">
        <is>
          <t>Content Audit &amp; Copywriting</t>
        </is>
      </c>
      <c r="C13" s="9" t="inlineStr">
        <is>
          <t>Discovery &amp; Planning</t>
        </is>
      </c>
      <c r="D13" s="9" t="inlineStr">
        <is>
          <t>Jumbe + Neema</t>
        </is>
      </c>
      <c r="E13" s="17" t="inlineStr">
        <is>
          <t>Complete</t>
        </is>
      </c>
      <c r="F13" s="9" t="inlineStr">
        <is>
          <t>Content</t>
        </is>
      </c>
      <c r="G13" s="16" t="inlineStr">
        <is>
          <t>Medium</t>
        </is>
      </c>
      <c r="H13" s="9" t="inlineStr">
        <is>
          <t>2026-03-09</t>
        </is>
      </c>
      <c r="I13" s="9" t="inlineStr">
        <is>
          <t>2026-03-14</t>
        </is>
      </c>
      <c r="J13" s="9" t="inlineStr"/>
      <c r="K13" s="9" t="inlineStr"/>
    </row>
    <row r="14">
      <c r="A14" s="7" t="n">
        <v>53</v>
      </c>
      <c r="B14" s="7" t="inlineStr">
        <is>
          <t>Next.js Project Setup &amp; Architecture</t>
        </is>
      </c>
      <c r="C14" s="7" t="inlineStr">
        <is>
          <t>Design &amp; Build</t>
        </is>
      </c>
      <c r="D14" s="7" t="inlineStr">
        <is>
          <t>Jumbe</t>
        </is>
      </c>
      <c r="E14" s="17" t="inlineStr">
        <is>
          <t>Complete</t>
        </is>
      </c>
      <c r="F14" s="7" t="inlineStr">
        <is>
          <t>Dev</t>
        </is>
      </c>
      <c r="G14" s="16" t="inlineStr">
        <is>
          <t>Medium</t>
        </is>
      </c>
      <c r="H14" s="7" t="inlineStr">
        <is>
          <t>2026-03-12</t>
        </is>
      </c>
      <c r="I14" s="7" t="inlineStr">
        <is>
          <t>2026-03-13</t>
        </is>
      </c>
      <c r="J14" s="7" t="inlineStr"/>
      <c r="K14" s="7" t="inlineStr"/>
    </row>
    <row r="15">
      <c r="A15" s="9" t="n">
        <v>54</v>
      </c>
      <c r="B15" s="9" t="inlineStr">
        <is>
          <t>Homepage Build (Hero, Forex, Products, Stats)</t>
        </is>
      </c>
      <c r="C15" s="9" t="inlineStr">
        <is>
          <t>Design &amp; Build</t>
        </is>
      </c>
      <c r="D15" s="9" t="inlineStr">
        <is>
          <t>Jumbe</t>
        </is>
      </c>
      <c r="E15" s="17" t="inlineStr">
        <is>
          <t>Complete</t>
        </is>
      </c>
      <c r="F15" s="9" t="inlineStr">
        <is>
          <t>Dev</t>
        </is>
      </c>
      <c r="G15" s="16" t="inlineStr">
        <is>
          <t>Medium</t>
        </is>
      </c>
      <c r="H15" s="9" t="inlineStr">
        <is>
          <t>2026-03-13</t>
        </is>
      </c>
      <c r="I15" s="9" t="inlineStr">
        <is>
          <t>2026-03-15</t>
        </is>
      </c>
      <c r="J15" s="9" t="inlineStr"/>
      <c r="K15" s="9" t="inlineStr"/>
    </row>
    <row r="16">
      <c r="A16" s="7" t="n">
        <v>55</v>
      </c>
      <c r="B16" s="7" t="inlineStr">
        <is>
          <t>Personal Banking &amp; Loan Products Pages</t>
        </is>
      </c>
      <c r="C16" s="7" t="inlineStr">
        <is>
          <t>Design &amp; Build</t>
        </is>
      </c>
      <c r="D16" s="7" t="inlineStr">
        <is>
          <t>Jumbe</t>
        </is>
      </c>
      <c r="E16" s="17" t="inlineStr">
        <is>
          <t>Complete</t>
        </is>
      </c>
      <c r="F16" s="7" t="inlineStr">
        <is>
          <t>Dev</t>
        </is>
      </c>
      <c r="G16" s="16" t="inlineStr">
        <is>
          <t>Medium</t>
        </is>
      </c>
      <c r="H16" s="7" t="inlineStr">
        <is>
          <t>2026-03-15</t>
        </is>
      </c>
      <c r="I16" s="7" t="inlineStr">
        <is>
          <t>2026-03-16</t>
        </is>
      </c>
      <c r="J16" s="7" t="inlineStr"/>
      <c r="K16" s="7" t="inlineStr"/>
    </row>
    <row r="17">
      <c r="A17" s="9" t="n">
        <v>56</v>
      </c>
      <c r="B17" s="9" t="inlineStr">
        <is>
          <t>Digital Banking Pages (CoopNet, Wakala, USSD, QR)</t>
        </is>
      </c>
      <c r="C17" s="9" t="inlineStr">
        <is>
          <t>Design &amp; Build</t>
        </is>
      </c>
      <c r="D17" s="9" t="inlineStr">
        <is>
          <t>Jumbe</t>
        </is>
      </c>
      <c r="E17" s="17" t="inlineStr">
        <is>
          <t>Complete</t>
        </is>
      </c>
      <c r="F17" s="9" t="inlineStr">
        <is>
          <t>Dev</t>
        </is>
      </c>
      <c r="G17" s="16" t="inlineStr">
        <is>
          <t>Medium</t>
        </is>
      </c>
      <c r="H17" s="9" t="inlineStr">
        <is>
          <t>2026-03-16</t>
        </is>
      </c>
      <c r="I17" s="9" t="inlineStr">
        <is>
          <t>2026-03-17</t>
        </is>
      </c>
      <c r="J17" s="9" t="inlineStr"/>
      <c r="K17" s="9" t="inlineStr"/>
    </row>
    <row r="18">
      <c r="A18" s="7" t="n">
        <v>57</v>
      </c>
      <c r="B18" s="7" t="inlineStr">
        <is>
          <t>About Us, Board &amp; Management Pages</t>
        </is>
      </c>
      <c r="C18" s="7" t="inlineStr">
        <is>
          <t>Design &amp; Build</t>
        </is>
      </c>
      <c r="D18" s="7" t="inlineStr">
        <is>
          <t>Jumbe</t>
        </is>
      </c>
      <c r="E18" s="17" t="inlineStr">
        <is>
          <t>Complete</t>
        </is>
      </c>
      <c r="F18" s="7" t="inlineStr">
        <is>
          <t>Dev</t>
        </is>
      </c>
      <c r="G18" s="16" t="inlineStr">
        <is>
          <t>Medium</t>
        </is>
      </c>
      <c r="H18" s="7" t="inlineStr">
        <is>
          <t>2026-03-17</t>
        </is>
      </c>
      <c r="I18" s="7" t="inlineStr">
        <is>
          <t>2026-03-18</t>
        </is>
      </c>
      <c r="J18" s="7" t="inlineStr"/>
      <c r="K18" s="7" t="inlineStr"/>
    </row>
    <row r="19">
      <c r="A19" s="9" t="n">
        <v>58</v>
      </c>
      <c r="B19" s="9" t="inlineStr">
        <is>
          <t>Tenders, Whistleblower, Careers Pages</t>
        </is>
      </c>
      <c r="C19" s="9" t="inlineStr">
        <is>
          <t>Design &amp; Build</t>
        </is>
      </c>
      <c r="D19" s="9" t="inlineStr">
        <is>
          <t>Jumbe</t>
        </is>
      </c>
      <c r="E19" s="17" t="inlineStr">
        <is>
          <t>Complete</t>
        </is>
      </c>
      <c r="F19" s="9" t="inlineStr">
        <is>
          <t>Dev</t>
        </is>
      </c>
      <c r="G19" s="16" t="inlineStr">
        <is>
          <t>Medium</t>
        </is>
      </c>
      <c r="H19" s="9" t="inlineStr">
        <is>
          <t>2026-03-17</t>
        </is>
      </c>
      <c r="I19" s="9" t="inlineStr">
        <is>
          <t>2026-03-17</t>
        </is>
      </c>
      <c r="J19" s="9" t="inlineStr"/>
      <c r="K19" s="9" t="inlineStr"/>
    </row>
    <row r="20">
      <c r="A20" s="7" t="n">
        <v>59</v>
      </c>
      <c r="B20" s="7" t="inlineStr">
        <is>
          <t>Navbar, Footer &amp; Shared Components</t>
        </is>
      </c>
      <c r="C20" s="7" t="inlineStr">
        <is>
          <t>Design &amp; Build</t>
        </is>
      </c>
      <c r="D20" s="7" t="inlineStr">
        <is>
          <t>Jumbe</t>
        </is>
      </c>
      <c r="E20" s="17" t="inlineStr">
        <is>
          <t>Complete</t>
        </is>
      </c>
      <c r="F20" s="7" t="inlineStr">
        <is>
          <t>Dev</t>
        </is>
      </c>
      <c r="G20" s="16" t="inlineStr">
        <is>
          <t>Medium</t>
        </is>
      </c>
      <c r="H20" s="7" t="inlineStr">
        <is>
          <t>2026-03-14</t>
        </is>
      </c>
      <c r="I20" s="7" t="inlineStr">
        <is>
          <t>2026-03-18</t>
        </is>
      </c>
      <c r="J20" s="7" t="inlineStr"/>
      <c r="K20" s="7" t="inlineStr"/>
    </row>
    <row r="21">
      <c r="A21" s="9" t="n">
        <v>60</v>
      </c>
      <c r="B21" s="9" t="inlineStr">
        <is>
          <t>Mshirika AI Chatbot Integration</t>
        </is>
      </c>
      <c r="C21" s="9" t="inlineStr">
        <is>
          <t>Design &amp; Build</t>
        </is>
      </c>
      <c r="D21" s="9" t="inlineStr">
        <is>
          <t>Jumbe</t>
        </is>
      </c>
      <c r="E21" s="17" t="inlineStr">
        <is>
          <t>Complete</t>
        </is>
      </c>
      <c r="F21" s="9" t="inlineStr">
        <is>
          <t>AI</t>
        </is>
      </c>
      <c r="G21" s="16" t="inlineStr">
        <is>
          <t>Medium</t>
        </is>
      </c>
      <c r="H21" s="9" t="inlineStr">
        <is>
          <t>2026-03-18</t>
        </is>
      </c>
      <c r="I21" s="9" t="inlineStr">
        <is>
          <t>2026-03-18</t>
        </is>
      </c>
      <c r="J21" s="9" t="inlineStr"/>
      <c r="K21" s="9" t="inlineStr"/>
    </row>
    <row r="22">
      <c r="A22" s="7" t="n">
        <v>61</v>
      </c>
      <c r="B22" s="7" t="inlineStr">
        <is>
          <t>GA4 Analytics &amp; Staging Deployment</t>
        </is>
      </c>
      <c r="C22" s="7" t="inlineStr">
        <is>
          <t>Design &amp; Build</t>
        </is>
      </c>
      <c r="D22" s="7" t="inlineStr">
        <is>
          <t>Jumbe</t>
        </is>
      </c>
      <c r="E22" s="17" t="inlineStr">
        <is>
          <t>Complete</t>
        </is>
      </c>
      <c r="F22" s="7" t="inlineStr">
        <is>
          <t>DevOps</t>
        </is>
      </c>
      <c r="G22" s="16" t="inlineStr">
        <is>
          <t>Medium</t>
        </is>
      </c>
      <c r="H22" s="7" t="inlineStr">
        <is>
          <t>2026-03-17</t>
        </is>
      </c>
      <c r="I22" s="7" t="inlineStr">
        <is>
          <t>2026-03-18</t>
        </is>
      </c>
      <c r="J22" s="7" t="inlineStr"/>
      <c r="K22" s="7" t="inlineStr"/>
    </row>
    <row r="23">
      <c r="A23" s="9" t="n">
        <v>62</v>
      </c>
      <c r="B23" s="9" t="inlineStr">
        <is>
          <t>Submit First Draft to CoopBank Marketing</t>
        </is>
      </c>
      <c r="C23" s="9" t="inlineStr">
        <is>
          <t>Client Review &amp; Revisions</t>
        </is>
      </c>
      <c r="D23" s="9" t="inlineStr">
        <is>
          <t>Jumbe + Neema</t>
        </is>
      </c>
      <c r="E23" s="17" t="inlineStr">
        <is>
          <t>Complete</t>
        </is>
      </c>
      <c r="F23" s="9" t="inlineStr">
        <is>
          <t>Milestone</t>
        </is>
      </c>
      <c r="G23" s="16" t="inlineStr">
        <is>
          <t>Medium</t>
        </is>
      </c>
      <c r="H23" s="9" t="inlineStr">
        <is>
          <t>2026-03-18</t>
        </is>
      </c>
      <c r="I23" s="9" t="inlineStr">
        <is>
          <t>2026-03-18</t>
        </is>
      </c>
      <c r="J23" s="9" t="inlineStr"/>
      <c r="K23" s="9" t="inlineStr">
        <is>
          <t>Sent to Oscar Rubasha</t>
        </is>
      </c>
    </row>
    <row r="24">
      <c r="A24" s="7" t="n">
        <v>63</v>
      </c>
      <c r="B24" s="7" t="inlineStr">
        <is>
          <t>Collect Client Feedback (Round 1)</t>
        </is>
      </c>
      <c r="C24" s="7" t="inlineStr">
        <is>
          <t>Client Review &amp; Revisions</t>
        </is>
      </c>
      <c r="D24" s="7" t="inlineStr">
        <is>
          <t>Neema</t>
        </is>
      </c>
      <c r="E24" s="17" t="inlineStr">
        <is>
          <t>Complete</t>
        </is>
      </c>
      <c r="F24" s="7" t="inlineStr">
        <is>
          <t>Client</t>
        </is>
      </c>
      <c r="G24" s="15" t="inlineStr">
        <is>
          <t>High</t>
        </is>
      </c>
      <c r="H24" s="7" t="inlineStr">
        <is>
          <t>2026-03-18</t>
        </is>
      </c>
      <c r="I24" s="7" t="inlineStr">
        <is>
          <t>2026-03-25</t>
        </is>
      </c>
      <c r="J24" s="7" t="inlineStr"/>
      <c r="K24" s="7" t="inlineStr">
        <is>
          <t>Received 2026-03-26</t>
        </is>
      </c>
    </row>
    <row r="25">
      <c r="A25" s="9" t="n">
        <v>64</v>
      </c>
      <c r="B25" s="9" t="inlineStr">
        <is>
          <t>Implement Design Revisions (Round 1)</t>
        </is>
      </c>
      <c r="C25" s="9" t="inlineStr">
        <is>
          <t>Client Review &amp; Revisions</t>
        </is>
      </c>
      <c r="D25" s="9" t="inlineStr">
        <is>
          <t>Jumbe</t>
        </is>
      </c>
      <c r="E25" s="17" t="inlineStr">
        <is>
          <t>Complete</t>
        </is>
      </c>
      <c r="F25" s="9" t="inlineStr">
        <is>
          <t>Dev</t>
        </is>
      </c>
      <c r="G25" s="16" t="inlineStr">
        <is>
          <t>Medium</t>
        </is>
      </c>
      <c r="H25" s="9" t="inlineStr">
        <is>
          <t>2026-03-25</t>
        </is>
      </c>
      <c r="I25" s="9" t="inlineStr">
        <is>
          <t>2026-03-29</t>
        </is>
      </c>
      <c r="J25" s="9" t="inlineStr"/>
      <c r="K25" s="9" t="inlineStr">
        <is>
          <t>Colors, forex, products, cards, content</t>
        </is>
      </c>
    </row>
    <row r="26">
      <c r="A26" s="7" t="n">
        <v>65</v>
      </c>
      <c r="B26" s="7" t="inlineStr">
        <is>
          <t>Collect Client Feedback (Round 2)</t>
        </is>
      </c>
      <c r="C26" s="7" t="inlineStr">
        <is>
          <t>Client Review &amp; Revisions</t>
        </is>
      </c>
      <c r="D26" s="7" t="inlineStr">
        <is>
          <t>Neema</t>
        </is>
      </c>
      <c r="E26" s="16" t="inlineStr">
        <is>
          <t>Not Started</t>
        </is>
      </c>
      <c r="F26" s="7" t="inlineStr">
        <is>
          <t>Client</t>
        </is>
      </c>
      <c r="G26" s="16" t="inlineStr">
        <is>
          <t>Medium</t>
        </is>
      </c>
      <c r="H26" s="7" t="inlineStr">
        <is>
          <t>2026-03-29</t>
        </is>
      </c>
      <c r="I26" s="7" t="inlineStr">
        <is>
          <t>2026-04-01</t>
        </is>
      </c>
      <c r="J26" s="7" t="inlineStr"/>
      <c r="K26" s="7" t="inlineStr">
        <is>
          <t>After pending builds complete</t>
        </is>
      </c>
    </row>
    <row r="27">
      <c r="A27" s="9" t="n">
        <v>109</v>
      </c>
      <c r="B27" s="9" t="inlineStr">
        <is>
          <t>Implement Design Revisions (Round 2)</t>
        </is>
      </c>
      <c r="C27" s="9" t="inlineStr">
        <is>
          <t>Client Review &amp; Revisions</t>
        </is>
      </c>
      <c r="D27" s="9" t="inlineStr"/>
      <c r="E27" s="16" t="inlineStr">
        <is>
          <t>Not Started</t>
        </is>
      </c>
      <c r="F27" s="9" t="inlineStr">
        <is>
          <t>Dev</t>
        </is>
      </c>
      <c r="G27" s="16" t="inlineStr">
        <is>
          <t>Medium</t>
        </is>
      </c>
      <c r="H27" s="9" t="inlineStr"/>
      <c r="I27" s="9" t="inlineStr"/>
      <c r="J27" s="9" t="inlineStr"/>
      <c r="K27" s="9" t="inlineStr">
        <is>
          <t>Depends on: Round 2 feedback</t>
        </is>
      </c>
    </row>
    <row r="28">
      <c r="A28" s="7" t="n">
        <v>110</v>
      </c>
      <c r="B28" s="7" t="inlineStr">
        <is>
          <t>Collect Client Feedback (Round 3 - Final)</t>
        </is>
      </c>
      <c r="C28" s="7" t="inlineStr">
        <is>
          <t>Client Review &amp; Revisions</t>
        </is>
      </c>
      <c r="D28" s="7" t="inlineStr"/>
      <c r="E28" s="16" t="inlineStr">
        <is>
          <t>Not Started</t>
        </is>
      </c>
      <c r="F28" s="7" t="inlineStr">
        <is>
          <t>Client</t>
        </is>
      </c>
      <c r="G28" s="16" t="inlineStr">
        <is>
          <t>Medium</t>
        </is>
      </c>
      <c r="H28" s="7" t="inlineStr"/>
      <c r="I28" s="7" t="inlineStr"/>
      <c r="J28" s="7" t="inlineStr"/>
      <c r="K28" s="7" t="inlineStr">
        <is>
          <t>Final review before QA</t>
        </is>
      </c>
    </row>
    <row r="29">
      <c r="A29" s="9" t="n">
        <v>111</v>
      </c>
      <c r="B29" s="9" t="inlineStr">
        <is>
          <t>Implement Final Revisions (Round 3)</t>
        </is>
      </c>
      <c r="C29" s="9" t="inlineStr">
        <is>
          <t>Client Review &amp; Revisions</t>
        </is>
      </c>
      <c r="D29" s="9" t="inlineStr"/>
      <c r="E29" s="16" t="inlineStr">
        <is>
          <t>Not Started</t>
        </is>
      </c>
      <c r="F29" s="9" t="inlineStr">
        <is>
          <t>Dev</t>
        </is>
      </c>
      <c r="G29" s="16" t="inlineStr">
        <is>
          <t>Medium</t>
        </is>
      </c>
      <c r="H29" s="9" t="inlineStr"/>
      <c r="I29" s="9" t="inlineStr"/>
      <c r="J29" s="9" t="inlineStr"/>
      <c r="K29" s="9" t="inlineStr">
        <is>
          <t>Last changes before testing</t>
        </is>
      </c>
    </row>
    <row r="30">
      <c r="A30" s="7" t="n">
        <v>82</v>
      </c>
      <c r="B30" s="7" t="inlineStr">
        <is>
          <t>Build: Business Banking Page</t>
        </is>
      </c>
      <c r="C30" s="7" t="inlineStr">
        <is>
          <t>Client Review &amp; Revisions</t>
        </is>
      </c>
      <c r="D30" s="7" t="inlineStr">
        <is>
          <t>Jumbe</t>
        </is>
      </c>
      <c r="E30" s="16" t="inlineStr">
        <is>
          <t>Not Started</t>
        </is>
      </c>
      <c r="F30" s="7" t="inlineStr">
        <is>
          <t>Build</t>
        </is>
      </c>
      <c r="G30" s="16" t="inlineStr">
        <is>
          <t>Medium</t>
        </is>
      </c>
      <c r="H30" s="7" t="inlineStr">
        <is>
          <t>2026-03-27</t>
        </is>
      </c>
      <c r="I30" s="7" t="inlineStr">
        <is>
          <t>2026-03-29</t>
        </is>
      </c>
      <c r="J30" s="7" t="inlineStr">
        <is>
          <t>0/10</t>
        </is>
      </c>
      <c r="K30" s="7" t="inlineStr"/>
    </row>
    <row r="31">
      <c r="A31" s="9" t="n">
        <v>83</v>
      </c>
      <c r="B31" s="9" t="inlineStr">
        <is>
          <t>Build: Contact Us Page</t>
        </is>
      </c>
      <c r="C31" s="9" t="inlineStr">
        <is>
          <t>Client Review &amp; Revisions</t>
        </is>
      </c>
      <c r="D31" s="9" t="inlineStr">
        <is>
          <t>Jumbe</t>
        </is>
      </c>
      <c r="E31" s="16" t="inlineStr">
        <is>
          <t>Not Started</t>
        </is>
      </c>
      <c r="F31" s="9" t="inlineStr">
        <is>
          <t>Build</t>
        </is>
      </c>
      <c r="G31" s="16" t="inlineStr">
        <is>
          <t>Medium</t>
        </is>
      </c>
      <c r="H31" s="9" t="inlineStr">
        <is>
          <t>2026-03-27</t>
        </is>
      </c>
      <c r="I31" s="9" t="inlineStr">
        <is>
          <t>2026-03-28</t>
        </is>
      </c>
      <c r="J31" s="9" t="inlineStr">
        <is>
          <t>0/10</t>
        </is>
      </c>
      <c r="K31" s="9" t="inlineStr">
        <is>
          <t>Needs: email domain (#113)</t>
        </is>
      </c>
    </row>
    <row r="32">
      <c r="A32" s="7" t="n">
        <v>84</v>
      </c>
      <c r="B32" s="7" t="inlineStr">
        <is>
          <t>Build: FAQs Page</t>
        </is>
      </c>
      <c r="C32" s="7" t="inlineStr">
        <is>
          <t>Client Review &amp; Revisions</t>
        </is>
      </c>
      <c r="D32" s="7" t="inlineStr">
        <is>
          <t>Jumbe</t>
        </is>
      </c>
      <c r="E32" s="16" t="inlineStr">
        <is>
          <t>Not Started</t>
        </is>
      </c>
      <c r="F32" s="7" t="inlineStr">
        <is>
          <t>Build</t>
        </is>
      </c>
      <c r="G32" s="16" t="inlineStr">
        <is>
          <t>Medium</t>
        </is>
      </c>
      <c r="H32" s="7" t="inlineStr">
        <is>
          <t>2026-03-28</t>
        </is>
      </c>
      <c r="I32" s="7" t="inlineStr">
        <is>
          <t>2026-03-29</t>
        </is>
      </c>
      <c r="J32" s="7" t="inlineStr">
        <is>
          <t>0/13</t>
        </is>
      </c>
      <c r="K32" s="7" t="inlineStr"/>
    </row>
    <row r="33">
      <c r="A33" s="9" t="n">
        <v>85</v>
      </c>
      <c r="B33" s="9" t="inlineStr">
        <is>
          <t>Build: Blog / News &amp; Updates Page</t>
        </is>
      </c>
      <c r="C33" s="9" t="inlineStr">
        <is>
          <t>Client Review &amp; Revisions</t>
        </is>
      </c>
      <c r="D33" s="9" t="inlineStr">
        <is>
          <t>Jumbe</t>
        </is>
      </c>
      <c r="E33" s="16" t="inlineStr">
        <is>
          <t>Not Started</t>
        </is>
      </c>
      <c r="F33" s="9" t="inlineStr">
        <is>
          <t>Build</t>
        </is>
      </c>
      <c r="G33" s="16" t="inlineStr">
        <is>
          <t>Medium</t>
        </is>
      </c>
      <c r="H33" s="9" t="inlineStr">
        <is>
          <t>2026-03-29</t>
        </is>
      </c>
      <c r="I33" s="9" t="inlineStr">
        <is>
          <t>2026-03-31</t>
        </is>
      </c>
      <c r="J33" s="9" t="inlineStr">
        <is>
          <t>0/10</t>
        </is>
      </c>
      <c r="K33" s="9" t="inlineStr"/>
    </row>
    <row r="34">
      <c r="A34" s="7" t="n">
        <v>86</v>
      </c>
      <c r="B34" s="7" t="inlineStr">
        <is>
          <t>Build: Privacy Policy &amp; Terms Pages</t>
        </is>
      </c>
      <c r="C34" s="7" t="inlineStr">
        <is>
          <t>Client Review &amp; Revisions</t>
        </is>
      </c>
      <c r="D34" s="7" t="inlineStr">
        <is>
          <t>Neema</t>
        </is>
      </c>
      <c r="E34" s="16" t="inlineStr">
        <is>
          <t>Not Started</t>
        </is>
      </c>
      <c r="F34" s="7" t="inlineStr">
        <is>
          <t>Build, Legal</t>
        </is>
      </c>
      <c r="G34" s="16" t="inlineStr">
        <is>
          <t>Medium</t>
        </is>
      </c>
      <c r="H34" s="7" t="inlineStr">
        <is>
          <t>2026-03-29</t>
        </is>
      </c>
      <c r="I34" s="7" t="inlineStr">
        <is>
          <t>2026-03-30</t>
        </is>
      </c>
      <c r="J34" s="7" t="inlineStr">
        <is>
          <t>0/8</t>
        </is>
      </c>
      <c r="K34" s="7" t="inlineStr">
        <is>
          <t>Needs: approved legal content</t>
        </is>
      </c>
    </row>
    <row r="35">
      <c r="A35" s="9" t="n">
        <v>87</v>
      </c>
      <c r="B35" s="9" t="inlineStr">
        <is>
          <t>Build: Cookie Consent Banner</t>
        </is>
      </c>
      <c r="C35" s="9" t="inlineStr">
        <is>
          <t>Client Review &amp; Revisions</t>
        </is>
      </c>
      <c r="D35" s="9" t="inlineStr">
        <is>
          <t>Jumbe</t>
        </is>
      </c>
      <c r="E35" s="16" t="inlineStr">
        <is>
          <t>Not Started</t>
        </is>
      </c>
      <c r="F35" s="9" t="inlineStr">
        <is>
          <t>Build</t>
        </is>
      </c>
      <c r="G35" s="16" t="inlineStr">
        <is>
          <t>Medium</t>
        </is>
      </c>
      <c r="H35" s="9" t="inlineStr">
        <is>
          <t>2026-03-30</t>
        </is>
      </c>
      <c r="I35" s="9" t="inlineStr">
        <is>
          <t>2026-03-30</t>
        </is>
      </c>
      <c r="J35" s="9" t="inlineStr">
        <is>
          <t>0/9</t>
        </is>
      </c>
      <c r="K35" s="9" t="inlineStr"/>
    </row>
    <row r="36">
      <c r="A36" s="7" t="n">
        <v>89</v>
      </c>
      <c r="B36" s="7" t="inlineStr">
        <is>
          <t>Figma Design System: Complete &amp; Deliver</t>
        </is>
      </c>
      <c r="C36" s="7" t="inlineStr">
        <is>
          <t>Client Review &amp; Revisions</t>
        </is>
      </c>
      <c r="D36" s="7" t="inlineStr">
        <is>
          <t>Jumbe</t>
        </is>
      </c>
      <c r="E36" s="16" t="inlineStr">
        <is>
          <t>Not Started</t>
        </is>
      </c>
      <c r="F36" s="7" t="inlineStr">
        <is>
          <t>Design</t>
        </is>
      </c>
      <c r="G36" s="18" t="inlineStr">
        <is>
          <t>Low</t>
        </is>
      </c>
      <c r="H36" s="7" t="inlineStr">
        <is>
          <t>2026-03-29</t>
        </is>
      </c>
      <c r="I36" s="7" t="inlineStr">
        <is>
          <t>2026-04-03</t>
        </is>
      </c>
      <c r="J36" s="7" t="inlineStr"/>
      <c r="K36" s="7" t="inlineStr">
        <is>
          <t>Deliverable to client</t>
        </is>
      </c>
    </row>
    <row r="37">
      <c r="A37" s="9" t="n">
        <v>90</v>
      </c>
      <c r="B37" s="9" t="inlineStr">
        <is>
          <t>Figma: Component Library &amp; Style Guide</t>
        </is>
      </c>
      <c r="C37" s="9" t="inlineStr">
        <is>
          <t>Client Review &amp; Revisions</t>
        </is>
      </c>
      <c r="D37" s="9" t="inlineStr">
        <is>
          <t>Jumbe</t>
        </is>
      </c>
      <c r="E37" s="16" t="inlineStr">
        <is>
          <t>Not Started</t>
        </is>
      </c>
      <c r="F37" s="9" t="inlineStr">
        <is>
          <t>Design</t>
        </is>
      </c>
      <c r="G37" s="16" t="inlineStr">
        <is>
          <t>Medium</t>
        </is>
      </c>
      <c r="H37" s="9" t="inlineStr">
        <is>
          <t>2026-04-01</t>
        </is>
      </c>
      <c r="I37" s="9" t="inlineStr">
        <is>
          <t>2026-04-03</t>
        </is>
      </c>
      <c r="J37" s="9" t="inlineStr"/>
      <c r="K37" s="9" t="inlineStr"/>
    </row>
    <row r="38">
      <c r="A38" s="7" t="n">
        <v>112</v>
      </c>
      <c r="B38" s="7" t="inlineStr">
        <is>
          <t>Awaiting: Official Product Master List</t>
        </is>
      </c>
      <c r="C38" s="7" t="inlineStr">
        <is>
          <t>Client Review &amp; Revisions</t>
        </is>
      </c>
      <c r="D38" s="7" t="inlineStr">
        <is>
          <t>Oscar (CBT)</t>
        </is>
      </c>
      <c r="E38" s="15" t="inlineStr">
        <is>
          <t>Awaiting Client</t>
        </is>
      </c>
      <c r="F38" s="7" t="inlineStr">
        <is>
          <t>Blocker, Products</t>
        </is>
      </c>
      <c r="G38" s="19" t="inlineStr">
        <is>
          <t>Critical</t>
        </is>
      </c>
      <c r="H38" s="7" t="inlineStr"/>
      <c r="I38" s="7" t="inlineStr"/>
      <c r="J38" s="7" t="inlineStr">
        <is>
          <t>0/7</t>
        </is>
      </c>
      <c r="K38" s="7" t="inlineStr">
        <is>
          <t>Msomi vs Wanafunzi, Mafao etc.</t>
        </is>
      </c>
    </row>
    <row r="39">
      <c r="A39" s="9" t="n">
        <v>113</v>
      </c>
      <c r="B39" s="9" t="inlineStr">
        <is>
          <t>Awaiting: Email Domain Confirmation</t>
        </is>
      </c>
      <c r="C39" s="9" t="inlineStr">
        <is>
          <t>Client Review &amp; Revisions</t>
        </is>
      </c>
      <c r="D39" s="9" t="inlineStr">
        <is>
          <t>CBT IT</t>
        </is>
      </c>
      <c r="E39" s="15" t="inlineStr">
        <is>
          <t>Awaiting Client</t>
        </is>
      </c>
      <c r="F39" s="9" t="inlineStr">
        <is>
          <t>Blocker, Config</t>
        </is>
      </c>
      <c r="G39" s="19" t="inlineStr">
        <is>
          <t>Critical</t>
        </is>
      </c>
      <c r="H39" s="9" t="inlineStr"/>
      <c r="I39" s="9" t="inlineStr"/>
      <c r="J39" s="9" t="inlineStr">
        <is>
          <t>0/8</t>
        </is>
      </c>
      <c r="K39" s="9" t="inlineStr">
        <is>
          <t>@coopbank vs @cbtbank</t>
        </is>
      </c>
    </row>
    <row r="40">
      <c r="A40" s="7" t="n">
        <v>114</v>
      </c>
      <c r="B40" s="7" t="inlineStr">
        <is>
          <t>Awaiting: Brand Guide / Visual Reference</t>
        </is>
      </c>
      <c r="C40" s="7" t="inlineStr">
        <is>
          <t>Client Review &amp; Revisions</t>
        </is>
      </c>
      <c r="D40" s="7" t="inlineStr">
        <is>
          <t>CBT Marketing</t>
        </is>
      </c>
      <c r="E40" s="15" t="inlineStr">
        <is>
          <t>Awaiting Client</t>
        </is>
      </c>
      <c r="F40" s="7" t="inlineStr">
        <is>
          <t>Blocker, Design</t>
        </is>
      </c>
      <c r="G40" s="15" t="inlineStr">
        <is>
          <t>High</t>
        </is>
      </c>
      <c r="H40" s="7" t="inlineStr"/>
      <c r="I40" s="7" t="inlineStr"/>
      <c r="J40" s="7" t="inlineStr">
        <is>
          <t>0/9</t>
        </is>
      </c>
      <c r="K40" s="7" t="inlineStr">
        <is>
          <t>Dashed white unclear</t>
        </is>
      </c>
    </row>
    <row r="41">
      <c r="A41" s="9" t="n">
        <v>115</v>
      </c>
      <c r="B41" s="9" t="inlineStr">
        <is>
          <t>Awaiting: About Us Content (Bank-Approved)</t>
        </is>
      </c>
      <c r="C41" s="9" t="inlineStr">
        <is>
          <t>Client Review &amp; Revisions</t>
        </is>
      </c>
      <c r="D41" s="9" t="inlineStr">
        <is>
          <t>Oscar (CBT)</t>
        </is>
      </c>
      <c r="E41" s="15" t="inlineStr">
        <is>
          <t>Awaiting Client</t>
        </is>
      </c>
      <c r="F41" s="9" t="inlineStr">
        <is>
          <t>Blocker, Content</t>
        </is>
      </c>
      <c r="G41" s="19" t="inlineStr">
        <is>
          <t>Critical</t>
        </is>
      </c>
      <c r="H41" s="9" t="inlineStr"/>
      <c r="I41" s="9" t="inlineStr"/>
      <c r="J41" s="9" t="inlineStr">
        <is>
          <t>0/11</t>
        </is>
      </c>
      <c r="K41" s="9" t="inlineStr">
        <is>
          <t>Mission, Vision, Values, Story</t>
        </is>
      </c>
    </row>
    <row r="42">
      <c r="A42" s="7" t="n">
        <v>116</v>
      </c>
      <c r="B42" s="7" t="inlineStr">
        <is>
          <t>Awaiting: Account Opening CTAs</t>
        </is>
      </c>
      <c r="C42" s="7" t="inlineStr">
        <is>
          <t>Client Review &amp; Revisions</t>
        </is>
      </c>
      <c r="D42" s="7" t="inlineStr">
        <is>
          <t>CBT Ops</t>
        </is>
      </c>
      <c r="E42" s="15" t="inlineStr">
        <is>
          <t>Awaiting Client</t>
        </is>
      </c>
      <c r="F42" s="7" t="inlineStr">
        <is>
          <t>Blocker, UX</t>
        </is>
      </c>
      <c r="G42" s="19" t="inlineStr">
        <is>
          <t>Critical</t>
        </is>
      </c>
      <c r="H42" s="7" t="inlineStr"/>
      <c r="I42" s="7" t="inlineStr"/>
      <c r="J42" s="7" t="inlineStr">
        <is>
          <t>0/12</t>
        </is>
      </c>
      <c r="K42" s="7" t="inlineStr">
        <is>
          <t>Where do buttons link?</t>
        </is>
      </c>
    </row>
    <row r="43">
      <c r="A43" s="9" t="n">
        <v>117</v>
      </c>
      <c r="B43" s="9" t="inlineStr">
        <is>
          <t>Awaiting: Agent Application Form</t>
        </is>
      </c>
      <c r="C43" s="9" t="inlineStr">
        <is>
          <t>Client Review &amp; Revisions</t>
        </is>
      </c>
      <c r="D43" s="9" t="inlineStr">
        <is>
          <t>CBT Ops</t>
        </is>
      </c>
      <c r="E43" s="15" t="inlineStr">
        <is>
          <t>Awaiting Client</t>
        </is>
      </c>
      <c r="F43" s="9" t="inlineStr">
        <is>
          <t>Blocker, UX</t>
        </is>
      </c>
      <c r="G43" s="15" t="inlineStr">
        <is>
          <t>High</t>
        </is>
      </c>
      <c r="H43" s="9" t="inlineStr"/>
      <c r="I43" s="9" t="inlineStr"/>
      <c r="J43" s="9" t="inlineStr">
        <is>
          <t>0/7</t>
        </is>
      </c>
      <c r="K43" s="9" t="inlineStr">
        <is>
          <t>Destination unknown</t>
        </is>
      </c>
    </row>
    <row r="44">
      <c r="A44" s="7" t="n">
        <v>66</v>
      </c>
      <c r="B44" s="7" t="inlineStr">
        <is>
          <t>Swahili Translation - All Pages</t>
        </is>
      </c>
      <c r="C44" s="7" t="inlineStr">
        <is>
          <t>Content &amp; Localization</t>
        </is>
      </c>
      <c r="D44" s="7" t="inlineStr">
        <is>
          <t>Neema</t>
        </is>
      </c>
      <c r="E44" s="16" t="inlineStr">
        <is>
          <t>Not Started</t>
        </is>
      </c>
      <c r="F44" s="7" t="inlineStr">
        <is>
          <t>i18n</t>
        </is>
      </c>
      <c r="G44" s="16" t="inlineStr">
        <is>
          <t>Medium</t>
        </is>
      </c>
      <c r="H44" s="7" t="inlineStr">
        <is>
          <t>2026-04-01</t>
        </is>
      </c>
      <c r="I44" s="7" t="inlineStr">
        <is>
          <t>2026-04-07</t>
        </is>
      </c>
      <c r="J44" s="7" t="inlineStr">
        <is>
          <t>0/15</t>
        </is>
      </c>
      <c r="K44" s="7" t="inlineStr"/>
    </row>
    <row r="45">
      <c r="A45" s="9" t="n">
        <v>67</v>
      </c>
      <c r="B45" s="9" t="inlineStr">
        <is>
          <t>Branch Directory with Google Maps</t>
        </is>
      </c>
      <c r="C45" s="9" t="inlineStr">
        <is>
          <t>Content &amp; Localization</t>
        </is>
      </c>
      <c r="D45" s="9" t="inlineStr">
        <is>
          <t>Jumbe</t>
        </is>
      </c>
      <c r="E45" s="16" t="inlineStr">
        <is>
          <t>Not Started</t>
        </is>
      </c>
      <c r="F45" s="9" t="inlineStr">
        <is>
          <t>Build, Maps</t>
        </is>
      </c>
      <c r="G45" s="16" t="inlineStr">
        <is>
          <t>Medium</t>
        </is>
      </c>
      <c r="H45" s="9" t="inlineStr">
        <is>
          <t>2026-04-03</t>
        </is>
      </c>
      <c r="I45" s="9" t="inlineStr">
        <is>
          <t>2026-04-06</t>
        </is>
      </c>
      <c r="J45" s="9" t="inlineStr">
        <is>
          <t>0/10</t>
        </is>
      </c>
      <c r="K45" s="9" t="inlineStr">
        <is>
          <t>Needs: branch data from CBT</t>
        </is>
      </c>
    </row>
    <row r="46">
      <c r="A46" s="7" t="n">
        <v>68</v>
      </c>
      <c r="B46" s="7" t="inlineStr">
        <is>
          <t>Final Content Population &amp; Media</t>
        </is>
      </c>
      <c r="C46" s="7" t="inlineStr">
        <is>
          <t>Content &amp; Localization</t>
        </is>
      </c>
      <c r="D46" s="7" t="inlineStr">
        <is>
          <t>Neema</t>
        </is>
      </c>
      <c r="E46" s="16" t="inlineStr">
        <is>
          <t>Not Started</t>
        </is>
      </c>
      <c r="F46" s="7" t="inlineStr">
        <is>
          <t>Content</t>
        </is>
      </c>
      <c r="G46" s="16" t="inlineStr">
        <is>
          <t>Medium</t>
        </is>
      </c>
      <c r="H46" s="7" t="inlineStr">
        <is>
          <t>2026-04-05</t>
        </is>
      </c>
      <c r="I46" s="7" t="inlineStr">
        <is>
          <t>2026-04-08</t>
        </is>
      </c>
      <c r="J46" s="7" t="inlineStr">
        <is>
          <t>0/10</t>
        </is>
      </c>
      <c r="K46" s="7" t="inlineStr"/>
    </row>
    <row r="47">
      <c r="A47" s="9" t="n">
        <v>69</v>
      </c>
      <c r="B47" s="9" t="inlineStr">
        <is>
          <t>Blog/News Section Setup</t>
        </is>
      </c>
      <c r="C47" s="9" t="inlineStr">
        <is>
          <t>Content &amp; Localization</t>
        </is>
      </c>
      <c r="D47" s="9" t="inlineStr">
        <is>
          <t>Jumbe</t>
        </is>
      </c>
      <c r="E47" s="16" t="inlineStr">
        <is>
          <t>Not Started</t>
        </is>
      </c>
      <c r="F47" s="9" t="inlineStr">
        <is>
          <t>Build</t>
        </is>
      </c>
      <c r="G47" s="16" t="inlineStr">
        <is>
          <t>Medium</t>
        </is>
      </c>
      <c r="H47" s="9" t="inlineStr">
        <is>
          <t>2026-04-07</t>
        </is>
      </c>
      <c r="I47" s="9" t="inlineStr">
        <is>
          <t>2026-04-09</t>
        </is>
      </c>
      <c r="J47" s="9" t="inlineStr"/>
      <c r="K47" s="9" t="inlineStr"/>
    </row>
    <row r="48">
      <c r="A48" s="7" t="n">
        <v>88</v>
      </c>
      <c r="B48" s="7" t="inlineStr">
        <is>
          <t>Branch Locator: Google Maps Integration</t>
        </is>
      </c>
      <c r="C48" s="7" t="inlineStr">
        <is>
          <t>Content &amp; Localization</t>
        </is>
      </c>
      <c r="D48" s="7" t="inlineStr">
        <is>
          <t>Jumbe</t>
        </is>
      </c>
      <c r="E48" s="16" t="inlineStr">
        <is>
          <t>Not Started</t>
        </is>
      </c>
      <c r="F48" s="7" t="inlineStr">
        <is>
          <t>Build, Maps</t>
        </is>
      </c>
      <c r="G48" s="16" t="inlineStr">
        <is>
          <t>Medium</t>
        </is>
      </c>
      <c r="H48" s="7" t="inlineStr">
        <is>
          <t>2026-04-03</t>
        </is>
      </c>
      <c r="I48" s="7" t="inlineStr">
        <is>
          <t>2026-04-06</t>
        </is>
      </c>
      <c r="J48" s="7" t="inlineStr"/>
      <c r="K48" s="7" t="inlineStr">
        <is>
          <t>Depends: #67 + branch data</t>
        </is>
      </c>
    </row>
    <row r="49">
      <c r="A49" s="9" t="n">
        <v>91</v>
      </c>
      <c r="B49" s="9" t="inlineStr">
        <is>
          <t>API Discovery: Map CoopBank Endpoints</t>
        </is>
      </c>
      <c r="C49" s="9" t="inlineStr">
        <is>
          <t>Content &amp; Localization</t>
        </is>
      </c>
      <c r="D49" s="9" t="inlineStr">
        <is>
          <t>Jumbe</t>
        </is>
      </c>
      <c r="E49" s="16" t="inlineStr">
        <is>
          <t>Not Started</t>
        </is>
      </c>
      <c r="F49" s="9" t="inlineStr">
        <is>
          <t>API</t>
        </is>
      </c>
      <c r="G49" s="15" t="inlineStr">
        <is>
          <t>High</t>
        </is>
      </c>
      <c r="H49" s="9" t="inlineStr">
        <is>
          <t>2026-04-01</t>
        </is>
      </c>
      <c r="I49" s="9" t="inlineStr">
        <is>
          <t>2026-04-05</t>
        </is>
      </c>
      <c r="J49" s="9" t="inlineStr"/>
      <c r="K49" s="9" t="inlineStr">
        <is>
          <t>Unblocks all API work</t>
        </is>
      </c>
    </row>
    <row r="50">
      <c r="A50" s="7" t="n">
        <v>92</v>
      </c>
      <c r="B50" s="7" t="inlineStr">
        <is>
          <t>API Integration: Forex Rates</t>
        </is>
      </c>
      <c r="C50" s="7" t="inlineStr">
        <is>
          <t>Content &amp; Localization</t>
        </is>
      </c>
      <c r="D50" s="7" t="inlineStr">
        <is>
          <t>Jumbe</t>
        </is>
      </c>
      <c r="E50" s="16" t="inlineStr">
        <is>
          <t>Not Started</t>
        </is>
      </c>
      <c r="F50" s="7" t="inlineStr">
        <is>
          <t>API</t>
        </is>
      </c>
      <c r="G50" s="16" t="inlineStr">
        <is>
          <t>Medium</t>
        </is>
      </c>
      <c r="H50" s="7" t="inlineStr">
        <is>
          <t>2026-04-05</t>
        </is>
      </c>
      <c r="I50" s="7" t="inlineStr">
        <is>
          <t>2026-04-07</t>
        </is>
      </c>
      <c r="J50" s="7" t="inlineStr"/>
      <c r="K50" s="7" t="inlineStr">
        <is>
          <t>Depends: #91 + #120</t>
        </is>
      </c>
    </row>
    <row r="51">
      <c r="A51" s="9" t="n">
        <v>93</v>
      </c>
      <c r="B51" s="9" t="inlineStr">
        <is>
          <t>API Integration: Loan Calculator</t>
        </is>
      </c>
      <c r="C51" s="9" t="inlineStr">
        <is>
          <t>Content &amp; Localization</t>
        </is>
      </c>
      <c r="D51" s="9" t="inlineStr">
        <is>
          <t>Jumbe</t>
        </is>
      </c>
      <c r="E51" s="16" t="inlineStr">
        <is>
          <t>Not Started</t>
        </is>
      </c>
      <c r="F51" s="9" t="inlineStr">
        <is>
          <t>API</t>
        </is>
      </c>
      <c r="G51" s="16" t="inlineStr">
        <is>
          <t>Medium</t>
        </is>
      </c>
      <c r="H51" s="9" t="inlineStr">
        <is>
          <t>2026-04-05</t>
        </is>
      </c>
      <c r="I51" s="9" t="inlineStr">
        <is>
          <t>2026-04-07</t>
        </is>
      </c>
      <c r="J51" s="9" t="inlineStr"/>
      <c r="K51" s="9" t="inlineStr">
        <is>
          <t>Depends: #91</t>
        </is>
      </c>
    </row>
    <row r="52">
      <c r="A52" s="7" t="n">
        <v>94</v>
      </c>
      <c r="B52" s="7" t="inlineStr">
        <is>
          <t>API Integration: Careers &amp; Tenders</t>
        </is>
      </c>
      <c r="C52" s="7" t="inlineStr">
        <is>
          <t>Content &amp; Localization</t>
        </is>
      </c>
      <c r="D52" s="7" t="inlineStr">
        <is>
          <t>Jumbe</t>
        </is>
      </c>
      <c r="E52" s="16" t="inlineStr">
        <is>
          <t>Not Started</t>
        </is>
      </c>
      <c r="F52" s="7" t="inlineStr">
        <is>
          <t>API</t>
        </is>
      </c>
      <c r="G52" s="16" t="inlineStr">
        <is>
          <t>Medium</t>
        </is>
      </c>
      <c r="H52" s="7" t="inlineStr">
        <is>
          <t>2026-04-07</t>
        </is>
      </c>
      <c r="I52" s="7" t="inlineStr">
        <is>
          <t>2026-04-09</t>
        </is>
      </c>
      <c r="J52" s="7" t="inlineStr"/>
      <c r="K52" s="7" t="inlineStr">
        <is>
          <t>Depends: #91</t>
        </is>
      </c>
    </row>
    <row r="53">
      <c r="A53" s="9" t="n">
        <v>95</v>
      </c>
      <c r="B53" s="9" t="inlineStr">
        <is>
          <t>API Integration: Branch Data</t>
        </is>
      </c>
      <c r="C53" s="9" t="inlineStr">
        <is>
          <t>Content &amp; Localization</t>
        </is>
      </c>
      <c r="D53" s="9" t="inlineStr">
        <is>
          <t>Jumbe</t>
        </is>
      </c>
      <c r="E53" s="16" t="inlineStr">
        <is>
          <t>Not Started</t>
        </is>
      </c>
      <c r="F53" s="9" t="inlineStr">
        <is>
          <t>API</t>
        </is>
      </c>
      <c r="G53" s="16" t="inlineStr">
        <is>
          <t>Medium</t>
        </is>
      </c>
      <c r="H53" s="9" t="inlineStr">
        <is>
          <t>2026-04-06</t>
        </is>
      </c>
      <c r="I53" s="9" t="inlineStr">
        <is>
          <t>2026-04-08</t>
        </is>
      </c>
      <c r="J53" s="9" t="inlineStr"/>
      <c r="K53" s="9" t="inlineStr">
        <is>
          <t>Depends: #91 + #118</t>
        </is>
      </c>
    </row>
    <row r="54">
      <c r="A54" s="7" t="n">
        <v>118</v>
      </c>
      <c r="B54" s="7" t="inlineStr">
        <is>
          <t>Awaiting: Agent Database for Wakala</t>
        </is>
      </c>
      <c r="C54" s="7" t="inlineStr">
        <is>
          <t>Content &amp; Localization</t>
        </is>
      </c>
      <c r="D54" s="7" t="inlineStr">
        <is>
          <t>CBT Ops</t>
        </is>
      </c>
      <c r="E54" s="15" t="inlineStr">
        <is>
          <t>Awaiting Client</t>
        </is>
      </c>
      <c r="F54" s="7" t="inlineStr">
        <is>
          <t>Blocker, Data</t>
        </is>
      </c>
      <c r="G54" s="19" t="inlineStr">
        <is>
          <t>Critical</t>
        </is>
      </c>
      <c r="H54" s="7" t="inlineStr"/>
      <c r="I54" s="7" t="inlineStr"/>
      <c r="J54" s="7" t="inlineStr">
        <is>
          <t>0/13</t>
        </is>
      </c>
      <c r="K54" s="7" t="inlineStr">
        <is>
          <t>Name | Location | Contact</t>
        </is>
      </c>
    </row>
    <row r="55">
      <c r="A55" s="9" t="n">
        <v>119</v>
      </c>
      <c r="B55" s="9" t="inlineStr">
        <is>
          <t>Awaiting: POS Services List</t>
        </is>
      </c>
      <c r="C55" s="9" t="inlineStr">
        <is>
          <t>Content &amp; Localization</t>
        </is>
      </c>
      <c r="D55" s="9" t="inlineStr">
        <is>
          <t>CBT Digital</t>
        </is>
      </c>
      <c r="E55" s="15" t="inlineStr">
        <is>
          <t>Awaiting Client</t>
        </is>
      </c>
      <c r="F55" s="9" t="inlineStr">
        <is>
          <t>Blocker, Content</t>
        </is>
      </c>
      <c r="G55" s="19" t="inlineStr">
        <is>
          <t>Critical</t>
        </is>
      </c>
      <c r="H55" s="9" t="inlineStr"/>
      <c r="I55" s="9" t="inlineStr"/>
      <c r="J55" s="9" t="inlineStr">
        <is>
          <t>0/9</t>
        </is>
      </c>
      <c r="K55" s="9" t="inlineStr">
        <is>
          <t>Wakala POS services</t>
        </is>
      </c>
    </row>
    <row r="56">
      <c r="A56" s="7" t="n">
        <v>120</v>
      </c>
      <c r="B56" s="7" t="inlineStr">
        <is>
          <t>Awaiting: Forex Rate Data Source</t>
        </is>
      </c>
      <c r="C56" s="7" t="inlineStr">
        <is>
          <t>Content &amp; Localization</t>
        </is>
      </c>
      <c r="D56" s="7" t="inlineStr">
        <is>
          <t>CBT Treasury</t>
        </is>
      </c>
      <c r="E56" s="15" t="inlineStr">
        <is>
          <t>Awaiting Client</t>
        </is>
      </c>
      <c r="F56" s="7" t="inlineStr">
        <is>
          <t>Blocker, API</t>
        </is>
      </c>
      <c r="G56" s="15" t="inlineStr">
        <is>
          <t>High</t>
        </is>
      </c>
      <c r="H56" s="7" t="inlineStr"/>
      <c r="I56" s="7" t="inlineStr"/>
      <c r="J56" s="7" t="inlineStr">
        <is>
          <t>0/11</t>
        </is>
      </c>
      <c r="K56" s="7" t="inlineStr">
        <is>
          <t>API or manual?</t>
        </is>
      </c>
    </row>
    <row r="57">
      <c r="A57" s="9" t="n">
        <v>121</v>
      </c>
      <c r="B57" s="9" t="inlineStr">
        <is>
          <t>Awaiting: Cards &amp; Payments Specs</t>
        </is>
      </c>
      <c r="C57" s="9" t="inlineStr">
        <is>
          <t>Content &amp; Localization</t>
        </is>
      </c>
      <c r="D57" s="9" t="inlineStr">
        <is>
          <t>CBT Marketing</t>
        </is>
      </c>
      <c r="E57" s="15" t="inlineStr">
        <is>
          <t>Awaiting Client</t>
        </is>
      </c>
      <c r="F57" s="9" t="inlineStr">
        <is>
          <t>Blocker, Content</t>
        </is>
      </c>
      <c r="G57" s="15" t="inlineStr">
        <is>
          <t>High</t>
        </is>
      </c>
      <c r="H57" s="9" t="inlineStr"/>
      <c r="I57" s="9" t="inlineStr"/>
      <c r="J57" s="9" t="inlineStr">
        <is>
          <t>0/10</t>
        </is>
      </c>
      <c r="K57" s="9" t="inlineStr">
        <is>
          <t>Visa Prepaid specs</t>
        </is>
      </c>
    </row>
    <row r="58">
      <c r="A58" s="7" t="n">
        <v>122</v>
      </c>
      <c r="B58" s="7" t="inlineStr">
        <is>
          <t>Awaiting: Treasury/FX Page Decision</t>
        </is>
      </c>
      <c r="C58" s="7" t="inlineStr">
        <is>
          <t>Content &amp; Localization</t>
        </is>
      </c>
      <c r="D58" s="7" t="inlineStr">
        <is>
          <t>CBT Mgmt</t>
        </is>
      </c>
      <c r="E58" s="15" t="inlineStr">
        <is>
          <t>Awaiting Client</t>
        </is>
      </c>
      <c r="F58" s="7" t="inlineStr">
        <is>
          <t>Blocker, Scope</t>
        </is>
      </c>
      <c r="G58" s="16" t="inlineStr">
        <is>
          <t>Medium</t>
        </is>
      </c>
      <c r="H58" s="7" t="inlineStr"/>
      <c r="I58" s="7" t="inlineStr"/>
      <c r="J58" s="7" t="inlineStr">
        <is>
          <t>0/7</t>
        </is>
      </c>
      <c r="K58" s="7" t="inlineStr">
        <is>
          <t>Separate page needed?</t>
        </is>
      </c>
    </row>
    <row r="59">
      <c r="A59" s="9" t="n">
        <v>123</v>
      </c>
      <c r="B59" s="9" t="inlineStr">
        <is>
          <t>Awaiting: Investors/Corp Governance</t>
        </is>
      </c>
      <c r="C59" s="9" t="inlineStr">
        <is>
          <t>Content &amp; Localization</t>
        </is>
      </c>
      <c r="D59" s="9" t="inlineStr">
        <is>
          <t>CBT Mgmt</t>
        </is>
      </c>
      <c r="E59" s="15" t="inlineStr">
        <is>
          <t>Awaiting Client</t>
        </is>
      </c>
      <c r="F59" s="9" t="inlineStr">
        <is>
          <t>Blocker, Scope</t>
        </is>
      </c>
      <c r="G59" s="16" t="inlineStr">
        <is>
          <t>Medium</t>
        </is>
      </c>
      <c r="H59" s="9" t="inlineStr"/>
      <c r="I59" s="9" t="inlineStr"/>
      <c r="J59" s="9" t="inlineStr">
        <is>
          <t>0/11</t>
        </is>
      </c>
      <c r="K59" s="9" t="inlineStr">
        <is>
          <t>Ready for launch?</t>
        </is>
      </c>
    </row>
    <row r="60">
      <c r="A60" s="7" t="n">
        <v>70</v>
      </c>
      <c r="B60" s="7" t="inlineStr">
        <is>
          <t>Cross-Browser &amp; Mobile Testing</t>
        </is>
      </c>
      <c r="C60" s="7" t="inlineStr">
        <is>
          <t>Testing &amp; QA</t>
        </is>
      </c>
      <c r="D60" s="7" t="inlineStr">
        <is>
          <t>Jumbe + Neema</t>
        </is>
      </c>
      <c r="E60" s="16" t="inlineStr">
        <is>
          <t>Not Started</t>
        </is>
      </c>
      <c r="F60" s="7" t="inlineStr">
        <is>
          <t>QA</t>
        </is>
      </c>
      <c r="G60" s="16" t="inlineStr">
        <is>
          <t>Medium</t>
        </is>
      </c>
      <c r="H60" s="7" t="inlineStr">
        <is>
          <t>2026-04-10</t>
        </is>
      </c>
      <c r="I60" s="7" t="inlineStr">
        <is>
          <t>2026-04-12</t>
        </is>
      </c>
      <c r="J60" s="7" t="inlineStr">
        <is>
          <t>0/12</t>
        </is>
      </c>
      <c r="K60" s="7" t="inlineStr"/>
    </row>
    <row r="61">
      <c r="A61" s="9" t="n">
        <v>71</v>
      </c>
      <c r="B61" s="9" t="inlineStr">
        <is>
          <t>SEO &amp; Performance Optimization</t>
        </is>
      </c>
      <c r="C61" s="9" t="inlineStr">
        <is>
          <t>Testing &amp; QA</t>
        </is>
      </c>
      <c r="D61" s="9" t="inlineStr">
        <is>
          <t>Jumbe</t>
        </is>
      </c>
      <c r="E61" s="16" t="inlineStr">
        <is>
          <t>Not Started</t>
        </is>
      </c>
      <c r="F61" s="9" t="inlineStr">
        <is>
          <t>SEO</t>
        </is>
      </c>
      <c r="G61" s="16" t="inlineStr">
        <is>
          <t>Medium</t>
        </is>
      </c>
      <c r="H61" s="9" t="inlineStr">
        <is>
          <t>2026-04-10</t>
        </is>
      </c>
      <c r="I61" s="9" t="inlineStr">
        <is>
          <t>2026-04-13</t>
        </is>
      </c>
      <c r="J61" s="9" t="inlineStr">
        <is>
          <t>0/12</t>
        </is>
      </c>
      <c r="K61" s="9" t="inlineStr">
        <is>
          <t>Lighthouse 90+</t>
        </is>
      </c>
    </row>
    <row r="62">
      <c r="A62" s="7" t="n">
        <v>72</v>
      </c>
      <c r="B62" s="7" t="inlineStr">
        <is>
          <t>Security Hardening &amp; BOT Compliance</t>
        </is>
      </c>
      <c r="C62" s="7" t="inlineStr">
        <is>
          <t>Testing &amp; QA</t>
        </is>
      </c>
      <c r="D62" s="7" t="inlineStr">
        <is>
          <t>Jumbe</t>
        </is>
      </c>
      <c r="E62" s="16" t="inlineStr">
        <is>
          <t>Not Started</t>
        </is>
      </c>
      <c r="F62" s="7" t="inlineStr">
        <is>
          <t>Security</t>
        </is>
      </c>
      <c r="G62" s="15" t="inlineStr">
        <is>
          <t>High</t>
        </is>
      </c>
      <c r="H62" s="7" t="inlineStr">
        <is>
          <t>2026-04-13</t>
        </is>
      </c>
      <c r="I62" s="7" t="inlineStr">
        <is>
          <t>2026-04-15</t>
        </is>
      </c>
      <c r="J62" s="7" t="inlineStr">
        <is>
          <t>0/10</t>
        </is>
      </c>
      <c r="K62" s="7" t="inlineStr">
        <is>
          <t>OWASP + Bank of Tanzania</t>
        </is>
      </c>
    </row>
    <row r="63">
      <c r="A63" s="9" t="n">
        <v>73</v>
      </c>
      <c r="B63" s="9" t="inlineStr">
        <is>
          <t>UAT with CoopBank IT &amp; Marketing</t>
        </is>
      </c>
      <c r="C63" s="9" t="inlineStr">
        <is>
          <t>Testing &amp; QA</t>
        </is>
      </c>
      <c r="D63" s="9" t="inlineStr">
        <is>
          <t>Jumbe + Neema</t>
        </is>
      </c>
      <c r="E63" s="16" t="inlineStr">
        <is>
          <t>Not Started</t>
        </is>
      </c>
      <c r="F63" s="9" t="inlineStr">
        <is>
          <t>UAT, Client</t>
        </is>
      </c>
      <c r="G63" s="15" t="inlineStr">
        <is>
          <t>High</t>
        </is>
      </c>
      <c r="H63" s="9" t="inlineStr">
        <is>
          <t>2026-04-15</t>
        </is>
      </c>
      <c r="I63" s="9" t="inlineStr">
        <is>
          <t>2026-04-17</t>
        </is>
      </c>
      <c r="J63" s="9" t="inlineStr">
        <is>
          <t>0/10</t>
        </is>
      </c>
      <c r="K63" s="9" t="inlineStr">
        <is>
          <t>Needs sign-off</t>
        </is>
      </c>
    </row>
    <row r="64">
      <c r="A64" s="7" t="n">
        <v>74</v>
      </c>
      <c r="B64" s="7" t="inlineStr">
        <is>
          <t>DNS Migration &amp; Production Go-Live</t>
        </is>
      </c>
      <c r="C64" s="7" t="inlineStr">
        <is>
          <t>Go-Live &amp; Handover</t>
        </is>
      </c>
      <c r="D64" s="7" t="inlineStr">
        <is>
          <t>Jumbe</t>
        </is>
      </c>
      <c r="E64" s="16" t="inlineStr">
        <is>
          <t>Not Started</t>
        </is>
      </c>
      <c r="F64" s="7" t="inlineStr">
        <is>
          <t>DevOps</t>
        </is>
      </c>
      <c r="G64" s="19" t="inlineStr">
        <is>
          <t>Critical</t>
        </is>
      </c>
      <c r="H64" s="7" t="inlineStr">
        <is>
          <t>2026-04-17</t>
        </is>
      </c>
      <c r="I64" s="7" t="inlineStr">
        <is>
          <t>2026-04-19</t>
        </is>
      </c>
      <c r="J64" s="7" t="inlineStr">
        <is>
          <t>0/11</t>
        </is>
      </c>
      <c r="K64" s="7" t="inlineStr">
        <is>
          <t>Needs DNS access</t>
        </is>
      </c>
    </row>
    <row r="65">
      <c r="A65" s="9" t="n">
        <v>75</v>
      </c>
      <c r="B65" s="9" t="inlineStr">
        <is>
          <t>Staff Training Session</t>
        </is>
      </c>
      <c r="C65" s="9" t="inlineStr">
        <is>
          <t>Go-Live &amp; Handover</t>
        </is>
      </c>
      <c r="D65" s="9" t="inlineStr">
        <is>
          <t>Jumbe + Neema</t>
        </is>
      </c>
      <c r="E65" s="16" t="inlineStr">
        <is>
          <t>Not Started</t>
        </is>
      </c>
      <c r="F65" s="9" t="inlineStr">
        <is>
          <t>Training</t>
        </is>
      </c>
      <c r="G65" s="16" t="inlineStr">
        <is>
          <t>Medium</t>
        </is>
      </c>
      <c r="H65" s="9" t="inlineStr">
        <is>
          <t>2026-04-19</t>
        </is>
      </c>
      <c r="I65" s="9" t="inlineStr">
        <is>
          <t>2026-04-21</t>
        </is>
      </c>
      <c r="J65" s="9" t="inlineStr">
        <is>
          <t>0/10</t>
        </is>
      </c>
      <c r="K65" s="9" t="inlineStr"/>
    </row>
    <row r="66">
      <c r="A66" s="7" t="n">
        <v>76</v>
      </c>
      <c r="B66" s="7" t="inlineStr">
        <is>
          <t>Post-Launch Monitoring (30 Days)</t>
        </is>
      </c>
      <c r="C66" s="7" t="inlineStr">
        <is>
          <t>Go-Live &amp; Handover</t>
        </is>
      </c>
      <c r="D66" s="7" t="inlineStr">
        <is>
          <t>Jumbe</t>
        </is>
      </c>
      <c r="E66" s="16" t="inlineStr">
        <is>
          <t>Not Started</t>
        </is>
      </c>
      <c r="F66" s="7" t="inlineStr">
        <is>
          <t>Support</t>
        </is>
      </c>
      <c r="G66" s="16" t="inlineStr">
        <is>
          <t>Medium</t>
        </is>
      </c>
      <c r="H66" s="7" t="inlineStr">
        <is>
          <t>2026-04-21</t>
        </is>
      </c>
      <c r="I66" s="7" t="inlineStr">
        <is>
          <t>2026-05-19</t>
        </is>
      </c>
      <c r="J66" s="7" t="inlineStr">
        <is>
          <t>0/11</t>
        </is>
      </c>
      <c r="K66" s="7" t="inlineStr"/>
    </row>
  </sheetData>
  <autoFilter ref="A3:K66"/>
  <mergeCells count="2">
    <mergeCell ref="A2:K2"/>
    <mergeCell ref="A1:K1"/>
  </mergeCells>
  <conditionalFormatting sqref="E4:E200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"Awaiting Client"</formula>
    </cfRule>
    <cfRule type="cellIs" priority="5" operator="equal" dxfId="4">
      <formula>"Awaiting Feedback"</formula>
    </cfRule>
    <cfRule type="cellIs" priority="6" operator="equal" dxfId="5">
      <formula>"Blocked"</formula>
    </cfRule>
    <cfRule type="cellIs" priority="7" operator="equal" dxfId="6">
      <formula>"Testing"</formula>
    </cfRule>
    <cfRule type="cellIs" priority="8" operator="equal" dxfId="7">
      <formula>"On Hold"</formula>
    </cfRule>
  </conditionalFormatting>
  <conditionalFormatting sqref="G4:G200">
    <cfRule type="cellIs" priority="9" operator="equal" dxfId="5">
      <formula>"Critical"</formula>
    </cfRule>
    <cfRule type="cellIs" priority="10" operator="equal" dxfId="3">
      <formula>"High"</formula>
    </cfRule>
    <cfRule type="cellIs" priority="11" operator="equal" dxfId="2">
      <formula>"Medium"</formula>
    </cfRule>
    <cfRule type="cellIs" priority="12" operator="equal" dxfId="8">
      <formula>"Low"</formula>
    </cfRule>
  </conditionalFormatting>
  <dataValidations count="3">
    <dataValidation sqref="E4:E200" showDropDown="0" showInputMessage="0" showErrorMessage="0" allowBlank="0" errorTitle="Invalid Status" error="Pick a valid status" type="list">
      <formula1>"Not Started,In Progress,Complete,Awaiting Client,Awaiting Feedback,Blocked,Testing,On Hold"</formula1>
    </dataValidation>
    <dataValidation sqref="G4:G200" showDropDown="0" showInputMessage="0" showErrorMessage="0" allowBlank="0" type="list">
      <formula1>"Critical,High,Medium,Low"</formula1>
    </dataValidation>
    <dataValidation sqref="C4:C200" showDropDown="0" showInputMessage="0" showErrorMessage="0" allowBlank="0" type="list">
      <formula1>"PM &amp; Admin,Discovery &amp; Planning,Design &amp; Build,Client Review &amp; Revisions,Content &amp; Localization,Testing &amp; QA,Go-Live &amp; Handover"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F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60" customWidth="1" min="3" max="3"/>
    <col width="8" customWidth="1" min="4" max="4"/>
    <col width="18" customWidth="1" min="5" max="5"/>
    <col width="35" customWidth="1" min="6" max="6"/>
  </cols>
  <sheetData>
    <row r="1">
      <c r="A1" s="1" t="inlineStr">
        <is>
          <t>Subtask Details — Check Done when complete</t>
        </is>
      </c>
    </row>
    <row r="2">
      <c r="A2" s="6" t="inlineStr">
        <is>
          <t>Task ID</t>
        </is>
      </c>
      <c r="B2" s="6" t="inlineStr">
        <is>
          <t>Task Name</t>
        </is>
      </c>
      <c r="C2" s="6" t="inlineStr">
        <is>
          <t>Subtask</t>
        </is>
      </c>
      <c r="D2" s="6" t="inlineStr">
        <is>
          <t>Done</t>
        </is>
      </c>
      <c r="E2" s="6" t="inlineStr">
        <is>
          <t>Assigned To</t>
        </is>
      </c>
      <c r="F2" s="6" t="inlineStr">
        <is>
          <t>Notes</t>
        </is>
      </c>
    </row>
    <row r="3">
      <c r="A3" s="7" t="n">
        <v>82</v>
      </c>
      <c r="B3" s="20" t="inlineStr">
        <is>
          <t>Build: Business Banking Page</t>
        </is>
      </c>
      <c r="C3" s="7" t="inlineStr">
        <is>
          <t>Design hero section with glassmorphism panel</t>
        </is>
      </c>
      <c r="D3" s="7" t="inlineStr"/>
      <c r="E3" s="7" t="inlineStr"/>
      <c r="F3" s="7" t="inlineStr"/>
    </row>
    <row r="4">
      <c r="A4" s="9" t="n">
        <v>82</v>
      </c>
      <c r="B4" s="9" t="inlineStr"/>
      <c r="C4" s="9" t="inlineStr">
        <is>
          <t>Build Business Current Account section (TZS, USD, EUR, GBP)</t>
        </is>
      </c>
      <c r="D4" s="9" t="inlineStr"/>
      <c r="E4" s="9" t="inlineStr"/>
      <c r="F4" s="9" t="inlineStr"/>
    </row>
    <row r="5">
      <c r="A5" s="7" t="n">
        <v>82</v>
      </c>
      <c r="B5" s="7" t="inlineStr"/>
      <c r="C5" s="7" t="inlineStr">
        <is>
          <t>Build Business Savings Account section</t>
        </is>
      </c>
      <c r="D5" s="7" t="inlineStr"/>
      <c r="E5" s="7" t="inlineStr"/>
      <c r="F5" s="7" t="inlineStr"/>
    </row>
    <row r="6">
      <c r="A6" s="9" t="n">
        <v>82</v>
      </c>
      <c r="B6" s="9" t="inlineStr"/>
      <c r="C6" s="9" t="inlineStr">
        <is>
          <t>Build Trade Finance section (LCs, guarantees, bills)</t>
        </is>
      </c>
      <c r="D6" s="9" t="inlineStr"/>
      <c r="E6" s="9" t="inlineStr"/>
      <c r="F6" s="9" t="inlineStr"/>
    </row>
    <row r="7">
      <c r="A7" s="7" t="n">
        <v>82</v>
      </c>
      <c r="B7" s="7" t="inlineStr"/>
      <c r="C7" s="7" t="inlineStr">
        <is>
          <t>Build Cash Management section</t>
        </is>
      </c>
      <c r="D7" s="7" t="inlineStr"/>
      <c r="E7" s="7" t="inlineStr"/>
      <c r="F7" s="7" t="inlineStr"/>
    </row>
    <row r="8">
      <c r="A8" s="9" t="n">
        <v>82</v>
      </c>
      <c r="B8" s="9" t="inlineStr"/>
      <c r="C8" s="9" t="inlineStr">
        <is>
          <t>Build Payroll Services section</t>
        </is>
      </c>
      <c r="D8" s="9" t="inlineStr"/>
      <c r="E8" s="9" t="inlineStr"/>
      <c r="F8" s="9" t="inlineStr"/>
    </row>
    <row r="9">
      <c r="A9" s="7" t="n">
        <v>82</v>
      </c>
      <c r="B9" s="7" t="inlineStr"/>
      <c r="C9" s="7" t="inlineStr">
        <is>
          <t>Build Business Loans overview with CTA</t>
        </is>
      </c>
      <c r="D9" s="7" t="inlineStr"/>
      <c r="E9" s="7" t="inlineStr"/>
      <c r="F9" s="7" t="inlineStr"/>
    </row>
    <row r="10">
      <c r="A10" s="9" t="n">
        <v>82</v>
      </c>
      <c r="B10" s="9" t="inlineStr"/>
      <c r="C10" s="9" t="inlineStr">
        <is>
          <t>Add product comparison table</t>
        </is>
      </c>
      <c r="D10" s="9" t="inlineStr"/>
      <c r="E10" s="9" t="inlineStr"/>
      <c r="F10" s="9" t="inlineStr"/>
    </row>
    <row r="11">
      <c r="A11" s="7" t="n">
        <v>82</v>
      </c>
      <c r="B11" s="7" t="inlineStr"/>
      <c r="C11" s="7" t="inlineStr">
        <is>
          <t>Add Open Business Account CTA (pending destination)</t>
        </is>
      </c>
      <c r="D11" s="7" t="inlineStr"/>
      <c r="E11" s="7" t="inlineStr"/>
      <c r="F11" s="7" t="inlineStr"/>
    </row>
    <row r="12">
      <c r="A12" s="9" t="n">
        <v>82</v>
      </c>
      <c r="B12" s="9" t="inlineStr"/>
      <c r="C12" s="9" t="inlineStr">
        <is>
          <t>Mobile responsive layout and testing</t>
        </is>
      </c>
      <c r="D12" s="9" t="inlineStr"/>
      <c r="E12" s="9" t="inlineStr"/>
      <c r="F12" s="9" t="inlineStr"/>
    </row>
    <row r="13">
      <c r="A13" s="7" t="n">
        <v>83</v>
      </c>
      <c r="B13" s="20" t="inlineStr">
        <is>
          <t>Build: Contact Us Page</t>
        </is>
      </c>
      <c r="C13" s="7" t="inlineStr">
        <is>
          <t>Build hero with contact information cards</t>
        </is>
      </c>
      <c r="D13" s="7" t="inlineStr"/>
      <c r="E13" s="7" t="inlineStr"/>
      <c r="F13" s="7" t="inlineStr"/>
    </row>
    <row r="14">
      <c r="A14" s="9" t="n">
        <v>83</v>
      </c>
      <c r="B14" s="9" t="inlineStr"/>
      <c r="C14" s="9" t="inlineStr">
        <is>
          <t>Add phone: +255 27 275 4470</t>
        </is>
      </c>
      <c r="D14" s="9" t="inlineStr"/>
      <c r="E14" s="9" t="inlineStr"/>
      <c r="F14" s="9" t="inlineStr"/>
    </row>
    <row r="15">
      <c r="A15" s="7" t="n">
        <v>83</v>
      </c>
      <c r="B15" s="7" t="inlineStr"/>
      <c r="C15" s="7" t="inlineStr">
        <is>
          <t>Add email (pending domain confirmation)</t>
        </is>
      </c>
      <c r="D15" s="7" t="inlineStr"/>
      <c r="E15" s="7" t="inlineStr"/>
      <c r="F15" s="7" t="inlineStr"/>
    </row>
    <row r="16">
      <c r="A16" s="9" t="n">
        <v>83</v>
      </c>
      <c r="B16" s="9" t="inlineStr"/>
      <c r="C16" s="9" t="inlineStr">
        <is>
          <t>Build contact form (name, email, phone, subject, message)</t>
        </is>
      </c>
      <c r="D16" s="9" t="inlineStr"/>
      <c r="E16" s="9" t="inlineStr"/>
      <c r="F16" s="9" t="inlineStr"/>
    </row>
    <row r="17">
      <c r="A17" s="7" t="n">
        <v>83</v>
      </c>
      <c r="B17" s="7" t="inlineStr"/>
      <c r="C17" s="7" t="inlineStr">
        <is>
          <t>Add form validation and submission handler</t>
        </is>
      </c>
      <c r="D17" s="7" t="inlineStr"/>
      <c r="E17" s="7" t="inlineStr"/>
      <c r="F17" s="7" t="inlineStr"/>
    </row>
    <row r="18">
      <c r="A18" s="9" t="n">
        <v>83</v>
      </c>
      <c r="B18" s="9" t="inlineStr"/>
      <c r="C18" s="9" t="inlineStr">
        <is>
          <t>Embed Google Maps with HQ pin</t>
        </is>
      </c>
      <c r="D18" s="9" t="inlineStr"/>
      <c r="E18" s="9" t="inlineStr"/>
      <c r="F18" s="9" t="inlineStr"/>
    </row>
    <row r="19">
      <c r="A19" s="7" t="n">
        <v>83</v>
      </c>
      <c r="B19" s="7" t="inlineStr"/>
      <c r="C19" s="7" t="inlineStr">
        <is>
          <t>Add operating hours section</t>
        </is>
      </c>
      <c r="D19" s="7" t="inlineStr"/>
      <c r="E19" s="7" t="inlineStr"/>
      <c r="F19" s="7" t="inlineStr"/>
    </row>
    <row r="20">
      <c r="A20" s="9" t="n">
        <v>83</v>
      </c>
      <c r="B20" s="9" t="inlineStr"/>
      <c r="C20" s="9" t="inlineStr">
        <is>
          <t>Add social media links</t>
        </is>
      </c>
      <c r="D20" s="9" t="inlineStr"/>
      <c r="E20" s="9" t="inlineStr"/>
      <c r="F20" s="9" t="inlineStr"/>
    </row>
    <row r="21">
      <c r="A21" s="7" t="n">
        <v>83</v>
      </c>
      <c r="B21" s="7" t="inlineStr"/>
      <c r="C21" s="7" t="inlineStr">
        <is>
          <t>Add quick links to Branch/Agent Locator</t>
        </is>
      </c>
      <c r="D21" s="7" t="inlineStr"/>
      <c r="E21" s="7" t="inlineStr"/>
      <c r="F21" s="7" t="inlineStr"/>
    </row>
    <row r="22">
      <c r="A22" s="9" t="n">
        <v>83</v>
      </c>
      <c r="B22" s="9" t="inlineStr"/>
      <c r="C22" s="9" t="inlineStr">
        <is>
          <t>Mobile responsive layout</t>
        </is>
      </c>
      <c r="D22" s="9" t="inlineStr"/>
      <c r="E22" s="9" t="inlineStr"/>
      <c r="F22" s="9" t="inlineStr"/>
    </row>
    <row r="23">
      <c r="A23" s="7" t="n">
        <v>84</v>
      </c>
      <c r="B23" s="20" t="inlineStr">
        <is>
          <t>Build: FAQs Page</t>
        </is>
      </c>
      <c r="C23" s="7" t="inlineStr">
        <is>
          <t>Design FAQ layout with category tabs</t>
        </is>
      </c>
      <c r="D23" s="7" t="inlineStr"/>
      <c r="E23" s="7" t="inlineStr"/>
      <c r="F23" s="7" t="inlineStr"/>
    </row>
    <row r="24">
      <c r="A24" s="9" t="n">
        <v>84</v>
      </c>
      <c r="B24" s="9" t="inlineStr"/>
      <c r="C24" s="9" t="inlineStr">
        <is>
          <t>Create categories: General, Accounts, Digital, Loans, Cards, Wakala</t>
        </is>
      </c>
      <c r="D24" s="9" t="inlineStr"/>
      <c r="E24" s="9" t="inlineStr"/>
      <c r="F24" s="9" t="inlineStr"/>
    </row>
    <row r="25">
      <c r="A25" s="7" t="n">
        <v>84</v>
      </c>
      <c r="B25" s="7" t="inlineStr"/>
      <c r="C25" s="7" t="inlineStr">
        <is>
          <t>Build accordion components</t>
        </is>
      </c>
      <c r="D25" s="7" t="inlineStr"/>
      <c r="E25" s="7" t="inlineStr"/>
      <c r="F25" s="7" t="inlineStr"/>
    </row>
    <row r="26">
      <c r="A26" s="9" t="n">
        <v>84</v>
      </c>
      <c r="B26" s="9" t="inlineStr"/>
      <c r="C26" s="9" t="inlineStr">
        <is>
          <t>Write General FAQs</t>
        </is>
      </c>
      <c r="D26" s="9" t="inlineStr"/>
      <c r="E26" s="9" t="inlineStr"/>
      <c r="F26" s="9" t="inlineStr"/>
    </row>
    <row r="27">
      <c r="A27" s="7" t="n">
        <v>84</v>
      </c>
      <c r="B27" s="7" t="inlineStr"/>
      <c r="C27" s="7" t="inlineStr">
        <is>
          <t>Write Account FAQs</t>
        </is>
      </c>
      <c r="D27" s="7" t="inlineStr"/>
      <c r="E27" s="7" t="inlineStr"/>
      <c r="F27" s="7" t="inlineStr"/>
    </row>
    <row r="28">
      <c r="A28" s="9" t="n">
        <v>84</v>
      </c>
      <c r="B28" s="9" t="inlineStr"/>
      <c r="C28" s="9" t="inlineStr">
        <is>
          <t>Write Digital Banking FAQs</t>
        </is>
      </c>
      <c r="D28" s="9" t="inlineStr"/>
      <c r="E28" s="9" t="inlineStr"/>
      <c r="F28" s="9" t="inlineStr"/>
    </row>
    <row r="29">
      <c r="A29" s="7" t="n">
        <v>84</v>
      </c>
      <c r="B29" s="7" t="inlineStr"/>
      <c r="C29" s="7" t="inlineStr">
        <is>
          <t>Write Loans FAQs</t>
        </is>
      </c>
      <c r="D29" s="7" t="inlineStr"/>
      <c r="E29" s="7" t="inlineStr"/>
      <c r="F29" s="7" t="inlineStr"/>
    </row>
    <row r="30">
      <c r="A30" s="9" t="n">
        <v>84</v>
      </c>
      <c r="B30" s="9" t="inlineStr"/>
      <c r="C30" s="9" t="inlineStr">
        <is>
          <t>Write Cards FAQs</t>
        </is>
      </c>
      <c r="D30" s="9" t="inlineStr"/>
      <c r="E30" s="9" t="inlineStr"/>
      <c r="F30" s="9" t="inlineStr"/>
    </row>
    <row r="31">
      <c r="A31" s="7" t="n">
        <v>84</v>
      </c>
      <c r="B31" s="7" t="inlineStr"/>
      <c r="C31" s="7" t="inlineStr">
        <is>
          <t>Write Wakala FAQs</t>
        </is>
      </c>
      <c r="D31" s="7" t="inlineStr"/>
      <c r="E31" s="7" t="inlineStr"/>
      <c r="F31" s="7" t="inlineStr"/>
    </row>
    <row r="32">
      <c r="A32" s="9" t="n">
        <v>84</v>
      </c>
      <c r="B32" s="9" t="inlineStr"/>
      <c r="C32" s="9" t="inlineStr">
        <is>
          <t>Add search/filter functionality</t>
        </is>
      </c>
      <c r="D32" s="9" t="inlineStr"/>
      <c r="E32" s="9" t="inlineStr"/>
      <c r="F32" s="9" t="inlineStr"/>
    </row>
    <row r="33">
      <c r="A33" s="7" t="n">
        <v>84</v>
      </c>
      <c r="B33" s="7" t="inlineStr"/>
      <c r="C33" s="7" t="inlineStr">
        <is>
          <t>Add CTA to Contact Us</t>
        </is>
      </c>
      <c r="D33" s="7" t="inlineStr"/>
      <c r="E33" s="7" t="inlineStr"/>
      <c r="F33" s="7" t="inlineStr"/>
    </row>
    <row r="34">
      <c r="A34" s="9" t="n">
        <v>84</v>
      </c>
      <c r="B34" s="9" t="inlineStr"/>
      <c r="C34" s="9" t="inlineStr">
        <is>
          <t>SEO: FAQ schema markup (JSON-LD)</t>
        </is>
      </c>
      <c r="D34" s="9" t="inlineStr"/>
      <c r="E34" s="9" t="inlineStr"/>
      <c r="F34" s="9" t="inlineStr"/>
    </row>
    <row r="35">
      <c r="A35" s="7" t="n">
        <v>84</v>
      </c>
      <c r="B35" s="7" t="inlineStr"/>
      <c r="C35" s="7" t="inlineStr">
        <is>
          <t>Mobile responsive accordion</t>
        </is>
      </c>
      <c r="D35" s="7" t="inlineStr"/>
      <c r="E35" s="7" t="inlineStr"/>
      <c r="F35" s="7" t="inlineStr"/>
    </row>
    <row r="36">
      <c r="A36" s="7" t="n">
        <v>85</v>
      </c>
      <c r="B36" s="20" t="inlineStr">
        <is>
          <t>Build: Blog / News Page</t>
        </is>
      </c>
      <c r="C36" s="7" t="inlineStr">
        <is>
          <t>Design blog listing with featured hero</t>
        </is>
      </c>
      <c r="D36" s="7" t="inlineStr"/>
      <c r="E36" s="7" t="inlineStr"/>
      <c r="F36" s="7" t="inlineStr"/>
    </row>
    <row r="37">
      <c r="A37" s="9" t="n">
        <v>85</v>
      </c>
      <c r="B37" s="9" t="inlineStr"/>
      <c r="C37" s="9" t="inlineStr">
        <is>
          <t>Build blog card grid</t>
        </is>
      </c>
      <c r="D37" s="9" t="inlineStr"/>
      <c r="E37" s="9" t="inlineStr"/>
      <c r="F37" s="9" t="inlineStr"/>
    </row>
    <row r="38">
      <c r="A38" s="7" t="n">
        <v>85</v>
      </c>
      <c r="B38" s="7" t="inlineStr"/>
      <c r="C38" s="7" t="inlineStr">
        <is>
          <t>Build individual post template</t>
        </is>
      </c>
      <c r="D38" s="7" t="inlineStr"/>
      <c r="E38" s="7" t="inlineStr"/>
      <c r="F38" s="7" t="inlineStr"/>
    </row>
    <row r="39">
      <c r="A39" s="9" t="n">
        <v>85</v>
      </c>
      <c r="B39" s="9" t="inlineStr"/>
      <c r="C39" s="9" t="inlineStr">
        <is>
          <t>Add category filter</t>
        </is>
      </c>
      <c r="D39" s="9" t="inlineStr"/>
      <c r="E39" s="9" t="inlineStr"/>
      <c r="F39" s="9" t="inlineStr"/>
    </row>
    <row r="40">
      <c r="A40" s="7" t="n">
        <v>85</v>
      </c>
      <c r="B40" s="7" t="inlineStr"/>
      <c r="C40" s="7" t="inlineStr">
        <is>
          <t>Add pagination</t>
        </is>
      </c>
      <c r="D40" s="7" t="inlineStr"/>
      <c r="E40" s="7" t="inlineStr"/>
      <c r="F40" s="7" t="inlineStr"/>
    </row>
    <row r="41">
      <c r="A41" s="9" t="n">
        <v>85</v>
      </c>
      <c r="B41" s="9" t="inlineStr"/>
      <c r="C41" s="9" t="inlineStr">
        <is>
          <t>Add social sharing buttons</t>
        </is>
      </c>
      <c r="D41" s="9" t="inlineStr"/>
      <c r="E41" s="9" t="inlineStr"/>
      <c r="F41" s="9" t="inlineStr"/>
    </row>
    <row r="42">
      <c r="A42" s="7" t="n">
        <v>85</v>
      </c>
      <c r="B42" s="7" t="inlineStr"/>
      <c r="C42" s="7" t="inlineStr">
        <is>
          <t>Add related posts section</t>
        </is>
      </c>
      <c r="D42" s="7" t="inlineStr"/>
      <c r="E42" s="7" t="inlineStr"/>
      <c r="F42" s="7" t="inlineStr"/>
    </row>
    <row r="43">
      <c r="A43" s="9" t="n">
        <v>85</v>
      </c>
      <c r="B43" s="9" t="inlineStr"/>
      <c r="C43" s="9" t="inlineStr">
        <is>
          <t>Create 3-5 sample posts</t>
        </is>
      </c>
      <c r="D43" s="9" t="inlineStr"/>
      <c r="E43" s="9" t="inlineStr"/>
      <c r="F43" s="9" t="inlineStr"/>
    </row>
    <row r="44">
      <c r="A44" s="7" t="n">
        <v>85</v>
      </c>
      <c r="B44" s="7" t="inlineStr"/>
      <c r="C44" s="7" t="inlineStr">
        <is>
          <t>Add blog SEO metadata</t>
        </is>
      </c>
      <c r="D44" s="7" t="inlineStr"/>
      <c r="E44" s="7" t="inlineStr"/>
      <c r="F44" s="7" t="inlineStr"/>
    </row>
    <row r="45">
      <c r="A45" s="9" t="n">
        <v>85</v>
      </c>
      <c r="B45" s="9" t="inlineStr"/>
      <c r="C45" s="9" t="inlineStr">
        <is>
          <t>Mobile responsive layout</t>
        </is>
      </c>
      <c r="D45" s="9" t="inlineStr"/>
      <c r="E45" s="9" t="inlineStr"/>
      <c r="F45" s="9" t="inlineStr"/>
    </row>
    <row r="46">
      <c r="A46" s="7" t="n">
        <v>86</v>
      </c>
      <c r="B46" s="20" t="inlineStr">
        <is>
          <t>Build: Privacy &amp; Terms</t>
        </is>
      </c>
      <c r="C46" s="7" t="inlineStr">
        <is>
          <t>Request approved Privacy Policy from CBT legal</t>
        </is>
      </c>
      <c r="D46" s="7" t="inlineStr"/>
      <c r="E46" s="7" t="inlineStr"/>
      <c r="F46" s="7" t="inlineStr"/>
    </row>
    <row r="47">
      <c r="A47" s="9" t="n">
        <v>86</v>
      </c>
      <c r="B47" s="9" t="inlineStr"/>
      <c r="C47" s="9" t="inlineStr">
        <is>
          <t>Request approved Terms of Service from CBT legal</t>
        </is>
      </c>
      <c r="D47" s="9" t="inlineStr"/>
      <c r="E47" s="9" t="inlineStr"/>
      <c r="F47" s="9" t="inlineStr"/>
    </row>
    <row r="48">
      <c r="A48" s="7" t="n">
        <v>86</v>
      </c>
      <c r="B48" s="7" t="inlineStr"/>
      <c r="C48" s="7" t="inlineStr">
        <is>
          <t>Build Privacy Policy page with TOC</t>
        </is>
      </c>
      <c r="D48" s="7" t="inlineStr"/>
      <c r="E48" s="7" t="inlineStr"/>
      <c r="F48" s="7" t="inlineStr"/>
    </row>
    <row r="49">
      <c r="A49" s="9" t="n">
        <v>86</v>
      </c>
      <c r="B49" s="9" t="inlineStr"/>
      <c r="C49" s="9" t="inlineStr">
        <is>
          <t>Build Terms page with TOC</t>
        </is>
      </c>
      <c r="D49" s="9" t="inlineStr"/>
      <c r="E49" s="9" t="inlineStr"/>
      <c r="F49" s="9" t="inlineStr"/>
    </row>
    <row r="50">
      <c r="A50" s="7" t="n">
        <v>86</v>
      </c>
      <c r="B50" s="7" t="inlineStr"/>
      <c r="C50" s="7" t="inlineStr">
        <is>
          <t>Add last updated date</t>
        </is>
      </c>
      <c r="D50" s="7" t="inlineStr"/>
      <c r="E50" s="7" t="inlineStr"/>
      <c r="F50" s="7" t="inlineStr"/>
    </row>
    <row r="51">
      <c r="A51" s="9" t="n">
        <v>86</v>
      </c>
      <c r="B51" s="9" t="inlineStr"/>
      <c r="C51" s="9" t="inlineStr">
        <is>
          <t>Add print-friendly styling</t>
        </is>
      </c>
      <c r="D51" s="9" t="inlineStr"/>
      <c r="E51" s="9" t="inlineStr"/>
      <c r="F51" s="9" t="inlineStr"/>
    </row>
    <row r="52">
      <c r="A52" s="7" t="n">
        <v>86</v>
      </c>
      <c r="B52" s="7" t="inlineStr"/>
      <c r="C52" s="7" t="inlineStr">
        <is>
          <t>Link from footer, cookie banner, forms</t>
        </is>
      </c>
      <c r="D52" s="7" t="inlineStr"/>
      <c r="E52" s="7" t="inlineStr"/>
      <c r="F52" s="7" t="inlineStr"/>
    </row>
    <row r="53">
      <c r="A53" s="9" t="n">
        <v>86</v>
      </c>
      <c r="B53" s="9" t="inlineStr"/>
      <c r="C53" s="9" t="inlineStr">
        <is>
          <t>Mobile readable typography</t>
        </is>
      </c>
      <c r="D53" s="9" t="inlineStr"/>
      <c r="E53" s="9" t="inlineStr"/>
      <c r="F53" s="9" t="inlineStr"/>
    </row>
    <row r="54">
      <c r="A54" s="7" t="n">
        <v>87</v>
      </c>
      <c r="B54" s="20" t="inlineStr">
        <is>
          <t>Build: Cookie Consent</t>
        </is>
      </c>
      <c r="C54" s="7" t="inlineStr">
        <is>
          <t>Build banner component (bottom viewport)</t>
        </is>
      </c>
      <c r="D54" s="7" t="inlineStr"/>
      <c r="E54" s="7" t="inlineStr"/>
      <c r="F54" s="7" t="inlineStr"/>
    </row>
    <row r="55">
      <c r="A55" s="9" t="n">
        <v>87</v>
      </c>
      <c r="B55" s="9" t="inlineStr"/>
      <c r="C55" s="9" t="inlineStr">
        <is>
          <t>Add Accept/Reject/Customize buttons</t>
        </is>
      </c>
      <c r="D55" s="9" t="inlineStr"/>
      <c r="E55" s="9" t="inlineStr"/>
      <c r="F55" s="9" t="inlineStr"/>
    </row>
    <row r="56">
      <c r="A56" s="7" t="n">
        <v>87</v>
      </c>
      <c r="B56" s="7" t="inlineStr"/>
      <c r="C56" s="7" t="inlineStr">
        <is>
          <t>Build preferences modal (Essential, Analytics, Marketing)</t>
        </is>
      </c>
      <c r="D56" s="7" t="inlineStr"/>
      <c r="E56" s="7" t="inlineStr"/>
      <c r="F56" s="7" t="inlineStr"/>
    </row>
    <row r="57">
      <c r="A57" s="9" t="n">
        <v>87</v>
      </c>
      <c r="B57" s="9" t="inlineStr"/>
      <c r="C57" s="9" t="inlineStr">
        <is>
          <t>Implement localStorage persistence</t>
        </is>
      </c>
      <c r="D57" s="9" t="inlineStr"/>
      <c r="E57" s="9" t="inlineStr"/>
      <c r="F57" s="9" t="inlineStr"/>
    </row>
    <row r="58">
      <c r="A58" s="7" t="n">
        <v>87</v>
      </c>
      <c r="B58" s="7" t="inlineStr"/>
      <c r="C58" s="7" t="inlineStr">
        <is>
          <t>Conditionally load GA4 based on consent</t>
        </is>
      </c>
      <c r="D58" s="7" t="inlineStr"/>
      <c r="E58" s="7" t="inlineStr"/>
      <c r="F58" s="7" t="inlineStr"/>
    </row>
    <row r="59">
      <c r="A59" s="9" t="n">
        <v>87</v>
      </c>
      <c r="B59" s="9" t="inlineStr"/>
      <c r="C59" s="9" t="inlineStr">
        <is>
          <t>Link to Privacy Policy</t>
        </is>
      </c>
      <c r="D59" s="9" t="inlineStr"/>
      <c r="E59" s="9" t="inlineStr"/>
      <c r="F59" s="9" t="inlineStr"/>
    </row>
    <row r="60">
      <c r="A60" s="7" t="n">
        <v>87</v>
      </c>
      <c r="B60" s="7" t="inlineStr"/>
      <c r="C60" s="7" t="inlineStr">
        <is>
          <t>Style to match brand (blue-green gradient)</t>
        </is>
      </c>
      <c r="D60" s="7" t="inlineStr"/>
      <c r="E60" s="7" t="inlineStr"/>
      <c r="F60" s="7" t="inlineStr"/>
    </row>
    <row r="61">
      <c r="A61" s="9" t="n">
        <v>87</v>
      </c>
      <c r="B61" s="9" t="inlineStr"/>
      <c r="C61" s="9" t="inlineStr">
        <is>
          <t>Test on mobile (must not block content)</t>
        </is>
      </c>
      <c r="D61" s="9" t="inlineStr"/>
      <c r="E61" s="9" t="inlineStr"/>
      <c r="F61" s="9" t="inlineStr"/>
    </row>
    <row r="62">
      <c r="A62" s="7" t="n">
        <v>87</v>
      </c>
      <c r="B62" s="7" t="inlineStr"/>
      <c r="C62" s="7" t="inlineStr">
        <is>
          <t>Show on first visit, hide after choice</t>
        </is>
      </c>
      <c r="D62" s="7" t="inlineStr"/>
      <c r="E62" s="7" t="inlineStr"/>
      <c r="F62" s="7" t="inlineStr"/>
    </row>
    <row r="63">
      <c r="A63" s="7" t="n">
        <v>112</v>
      </c>
      <c r="B63" s="20" t="inlineStr">
        <is>
          <t>Awaiting: Product Master List</t>
        </is>
      </c>
      <c r="C63" s="7" t="inlineStr">
        <is>
          <t>Request official list from CBT marketing</t>
        </is>
      </c>
      <c r="D63" s="7" t="inlineStr"/>
      <c r="E63" s="7" t="inlineStr"/>
      <c r="F63" s="7" t="inlineStr"/>
    </row>
    <row r="64">
      <c r="A64" s="9" t="n">
        <v>112</v>
      </c>
      <c r="B64" s="9" t="inlineStr"/>
      <c r="C64" s="9" t="inlineStr">
        <is>
          <t>Confirm Personal Banking Savings names</t>
        </is>
      </c>
      <c r="D64" s="9" t="inlineStr"/>
      <c r="E64" s="9" t="inlineStr"/>
      <c r="F64" s="9" t="inlineStr"/>
    </row>
    <row r="65">
      <c r="A65" s="7" t="n">
        <v>112</v>
      </c>
      <c r="B65" s="7" t="inlineStr"/>
      <c r="C65" s="7" t="inlineStr">
        <is>
          <t>Confirm Fixed Accounts names</t>
        </is>
      </c>
      <c r="D65" s="7" t="inlineStr"/>
      <c r="E65" s="7" t="inlineStr"/>
      <c r="F65" s="7" t="inlineStr"/>
    </row>
    <row r="66">
      <c r="A66" s="9" t="n">
        <v>112</v>
      </c>
      <c r="B66" s="9" t="inlineStr"/>
      <c r="C66" s="9" t="inlineStr">
        <is>
          <t>Confirm Group Accounts names</t>
        </is>
      </c>
      <c r="D66" s="9" t="inlineStr"/>
      <c r="E66" s="9" t="inlineStr"/>
      <c r="F66" s="9" t="inlineStr"/>
    </row>
    <row r="67">
      <c r="A67" s="7" t="n">
        <v>112</v>
      </c>
      <c r="B67" s="7" t="inlineStr"/>
      <c r="C67" s="7" t="inlineStr">
        <is>
          <t>Verify USD/EUR/GBP: real products or display?</t>
        </is>
      </c>
      <c r="D67" s="7" t="inlineStr"/>
      <c r="E67" s="7" t="inlineStr"/>
      <c r="F67" s="7" t="inlineStr"/>
    </row>
    <row r="68">
      <c r="A68" s="9" t="n">
        <v>112</v>
      </c>
      <c r="B68" s="9" t="inlineStr"/>
      <c r="C68" s="9" t="inlineStr">
        <is>
          <t>Update all product pages</t>
        </is>
      </c>
      <c r="D68" s="9" t="inlineStr"/>
      <c r="E68" s="9" t="inlineStr"/>
      <c r="F68" s="9" t="inlineStr"/>
    </row>
    <row r="69">
      <c r="A69" s="7" t="n">
        <v>112</v>
      </c>
      <c r="B69" s="7" t="inlineStr"/>
      <c r="C69" s="7" t="inlineStr">
        <is>
          <t>Update mega menu with final categories</t>
        </is>
      </c>
      <c r="D69" s="7" t="inlineStr"/>
      <c r="E69" s="7" t="inlineStr"/>
      <c r="F69" s="7" t="inlineStr"/>
    </row>
    <row r="70">
      <c r="A70" s="7" t="n">
        <v>113</v>
      </c>
      <c r="B70" s="20" t="inlineStr">
        <is>
          <t>Awaiting: Email Domain</t>
        </is>
      </c>
      <c r="C70" s="7" t="inlineStr">
        <is>
          <t>Ask CBT: @coopbank.co.tz or @cbtbank.co.tz?</t>
        </is>
      </c>
      <c r="D70" s="7" t="inlineStr"/>
      <c r="E70" s="7" t="inlineStr"/>
      <c r="F70" s="7" t="inlineStr"/>
    </row>
    <row r="71">
      <c r="A71" s="9" t="n">
        <v>113</v>
      </c>
      <c r="B71" s="9" t="inlineStr"/>
      <c r="C71" s="9" t="inlineStr">
        <is>
          <t>Receive written confirmation</t>
        </is>
      </c>
      <c r="D71" s="9" t="inlineStr"/>
      <c r="E71" s="9" t="inlineStr"/>
      <c r="F71" s="9" t="inlineStr"/>
    </row>
    <row r="72">
      <c r="A72" s="7" t="n">
        <v>113</v>
      </c>
      <c r="B72" s="7" t="inlineStr"/>
      <c r="C72" s="7" t="inlineStr">
        <is>
          <t>Update Homepage footer email</t>
        </is>
      </c>
      <c r="D72" s="7" t="inlineStr"/>
      <c r="E72" s="7" t="inlineStr"/>
      <c r="F72" s="7" t="inlineStr"/>
    </row>
    <row r="73">
      <c r="A73" s="9" t="n">
        <v>113</v>
      </c>
      <c r="B73" s="9" t="inlineStr"/>
      <c r="C73" s="9" t="inlineStr">
        <is>
          <t>Update Contact Us page email</t>
        </is>
      </c>
      <c r="D73" s="9" t="inlineStr"/>
      <c r="E73" s="9" t="inlineStr"/>
      <c r="F73" s="9" t="inlineStr"/>
    </row>
    <row r="74">
      <c r="A74" s="7" t="n">
        <v>113</v>
      </c>
      <c r="B74" s="7" t="inlineStr"/>
      <c r="C74" s="7" t="inlineStr">
        <is>
          <t>Update all mailto: links</t>
        </is>
      </c>
      <c r="D74" s="7" t="inlineStr"/>
      <c r="E74" s="7" t="inlineStr"/>
      <c r="F74" s="7" t="inlineStr"/>
    </row>
    <row r="75">
      <c r="A75" s="9" t="n">
        <v>113</v>
      </c>
      <c r="B75" s="9" t="inlineStr"/>
      <c r="C75" s="9" t="inlineStr">
        <is>
          <t>Update careers email</t>
        </is>
      </c>
      <c r="D75" s="9" t="inlineStr"/>
      <c r="E75" s="9" t="inlineStr"/>
      <c r="F75" s="9" t="inlineStr"/>
    </row>
    <row r="76">
      <c r="A76" s="7" t="n">
        <v>113</v>
      </c>
      <c r="B76" s="7" t="inlineStr"/>
      <c r="C76" s="7" t="inlineStr">
        <is>
          <t>Update whistleblower email</t>
        </is>
      </c>
      <c r="D76" s="7" t="inlineStr"/>
      <c r="E76" s="7" t="inlineStr"/>
      <c r="F76" s="7" t="inlineStr"/>
    </row>
    <row r="77">
      <c r="A77" s="9" t="n">
        <v>113</v>
      </c>
      <c r="B77" s="9" t="inlineStr"/>
      <c r="C77" s="9" t="inlineStr">
        <is>
          <t>Full grep and replace all refs</t>
        </is>
      </c>
      <c r="D77" s="9" t="inlineStr"/>
      <c r="E77" s="9" t="inlineStr"/>
      <c r="F77" s="9" t="inlineStr"/>
    </row>
    <row r="78">
      <c r="A78" s="7" t="n">
        <v>115</v>
      </c>
      <c r="B78" s="20" t="inlineStr">
        <is>
          <t>Awaiting: About Us Content</t>
        </is>
      </c>
      <c r="C78" s="7" t="inlineStr">
        <is>
          <t>Request Our Story / History</t>
        </is>
      </c>
      <c r="D78" s="7" t="inlineStr"/>
      <c r="E78" s="7" t="inlineStr"/>
      <c r="F78" s="7" t="inlineStr"/>
    </row>
    <row r="79">
      <c r="A79" s="9" t="n">
        <v>115</v>
      </c>
      <c r="B79" s="9" t="inlineStr"/>
      <c r="C79" s="9" t="inlineStr">
        <is>
          <t>Request Mission Statement</t>
        </is>
      </c>
      <c r="D79" s="9" t="inlineStr"/>
      <c r="E79" s="9" t="inlineStr"/>
      <c r="F79" s="9" t="inlineStr"/>
    </row>
    <row r="80">
      <c r="A80" s="7" t="n">
        <v>115</v>
      </c>
      <c r="B80" s="7" t="inlineStr"/>
      <c r="C80" s="7" t="inlineStr">
        <is>
          <t>Request Vision Statement</t>
        </is>
      </c>
      <c r="D80" s="7" t="inlineStr"/>
      <c r="E80" s="7" t="inlineStr"/>
      <c r="F80" s="7" t="inlineStr"/>
    </row>
    <row r="81">
      <c r="A81" s="9" t="n">
        <v>115</v>
      </c>
      <c r="B81" s="9" t="inlineStr"/>
      <c r="C81" s="9" t="inlineStr">
        <is>
          <t>Request Core Values + descriptions</t>
        </is>
      </c>
      <c r="D81" s="9" t="inlineStr"/>
      <c r="E81" s="9" t="inlineStr"/>
      <c r="F81" s="9" t="inlineStr"/>
    </row>
    <row r="82">
      <c r="A82" s="7" t="n">
        <v>115</v>
      </c>
      <c r="B82" s="7" t="inlineStr"/>
      <c r="C82" s="7" t="inlineStr">
        <is>
          <t>Request board photos &amp; bios</t>
        </is>
      </c>
      <c r="D82" s="7" t="inlineStr"/>
      <c r="E82" s="7" t="inlineStr"/>
      <c r="F82" s="7" t="inlineStr"/>
    </row>
    <row r="83">
      <c r="A83" s="9" t="n">
        <v>115</v>
      </c>
      <c r="B83" s="9" t="inlineStr"/>
      <c r="C83" s="9" t="inlineStr">
        <is>
          <t>Request management photos &amp; bios</t>
        </is>
      </c>
      <c r="D83" s="9" t="inlineStr"/>
      <c r="E83" s="9" t="inlineStr"/>
      <c r="F83" s="9" t="inlineStr"/>
    </row>
    <row r="84">
      <c r="A84" s="7" t="n">
        <v>115</v>
      </c>
      <c r="B84" s="7" t="inlineStr"/>
      <c r="C84" s="7" t="inlineStr">
        <is>
          <t>Build Our Story timeline</t>
        </is>
      </c>
      <c r="D84" s="7" t="inlineStr"/>
      <c r="E84" s="7" t="inlineStr"/>
      <c r="F84" s="7" t="inlineStr"/>
    </row>
    <row r="85">
      <c r="A85" s="9" t="n">
        <v>115</v>
      </c>
      <c r="B85" s="9" t="inlineStr"/>
      <c r="C85" s="9" t="inlineStr">
        <is>
          <t>Build Mission &amp; Vision cards</t>
        </is>
      </c>
      <c r="D85" s="9" t="inlineStr"/>
      <c r="E85" s="9" t="inlineStr"/>
      <c r="F85" s="9" t="inlineStr"/>
    </row>
    <row r="86">
      <c r="A86" s="7" t="n">
        <v>115</v>
      </c>
      <c r="B86" s="7" t="inlineStr"/>
      <c r="C86" s="7" t="inlineStr">
        <is>
          <t>Build Core Values grid</t>
        </is>
      </c>
      <c r="D86" s="7" t="inlineStr"/>
      <c r="E86" s="7" t="inlineStr"/>
      <c r="F86" s="7" t="inlineStr"/>
    </row>
    <row r="87">
      <c r="A87" s="9" t="n">
        <v>115</v>
      </c>
      <c r="B87" s="9" t="inlineStr"/>
      <c r="C87" s="9" t="inlineStr">
        <is>
          <t>Update photo gallery</t>
        </is>
      </c>
      <c r="D87" s="9" t="inlineStr"/>
      <c r="E87" s="9" t="inlineStr"/>
      <c r="F87" s="9" t="inlineStr"/>
    </row>
    <row r="88">
      <c r="A88" s="7" t="n">
        <v>115</v>
      </c>
      <c r="B88" s="7" t="inlineStr"/>
      <c r="C88" s="7" t="inlineStr">
        <is>
          <t>Final proofread</t>
        </is>
      </c>
      <c r="D88" s="7" t="inlineStr"/>
      <c r="E88" s="7" t="inlineStr"/>
      <c r="F88" s="7" t="inlineStr"/>
    </row>
    <row r="89">
      <c r="A89" s="7" t="n">
        <v>116</v>
      </c>
      <c r="B89" s="20" t="inlineStr">
        <is>
          <t>Awaiting: Account Opening CTAs</t>
        </is>
      </c>
      <c r="C89" s="7" t="inlineStr">
        <is>
          <t>Ask: external portal URL?</t>
        </is>
      </c>
      <c r="D89" s="7" t="inlineStr"/>
      <c r="E89" s="7" t="inlineStr"/>
      <c r="F89" s="7" t="inlineStr"/>
    </row>
    <row r="90">
      <c r="A90" s="9" t="n">
        <v>116</v>
      </c>
      <c r="B90" s="9" t="inlineStr"/>
      <c r="C90" s="9" t="inlineStr">
        <is>
          <t>Ask: downloadable PDF?</t>
        </is>
      </c>
      <c r="D90" s="9" t="inlineStr"/>
      <c r="E90" s="9" t="inlineStr"/>
      <c r="F90" s="9" t="inlineStr"/>
    </row>
    <row r="91">
      <c r="A91" s="7" t="n">
        <v>116</v>
      </c>
      <c r="B91" s="7" t="inlineStr"/>
      <c r="C91" s="7" t="inlineStr">
        <is>
          <t>Ask: email/phone process?</t>
        </is>
      </c>
      <c r="D91" s="7" t="inlineStr"/>
      <c r="E91" s="7" t="inlineStr"/>
      <c r="F91" s="7" t="inlineStr"/>
    </row>
    <row r="92">
      <c r="A92" s="9" t="n">
        <v>116</v>
      </c>
      <c r="B92" s="9" t="inlineStr"/>
      <c r="C92" s="9" t="inlineStr">
        <is>
          <t>Receive confirmed destination</t>
        </is>
      </c>
      <c r="D92" s="9" t="inlineStr"/>
      <c r="E92" s="9" t="inlineStr"/>
      <c r="F92" s="9" t="inlineStr"/>
    </row>
    <row r="93">
      <c r="A93" s="7" t="n">
        <v>116</v>
      </c>
      <c r="B93" s="7" t="inlineStr"/>
      <c r="C93" s="7" t="inlineStr">
        <is>
          <t>Update Homepage hero CTA</t>
        </is>
      </c>
      <c r="D93" s="7" t="inlineStr"/>
      <c r="E93" s="7" t="inlineStr"/>
      <c r="F93" s="7" t="inlineStr"/>
    </row>
    <row r="94">
      <c r="A94" s="9" t="n">
        <v>116</v>
      </c>
      <c r="B94" s="9" t="inlineStr"/>
      <c r="C94" s="9" t="inlineStr">
        <is>
          <t>Update Personal Banking CTAs</t>
        </is>
      </c>
      <c r="D94" s="9" t="inlineStr"/>
      <c r="E94" s="9" t="inlineStr"/>
      <c r="F94" s="9" t="inlineStr"/>
    </row>
    <row r="95">
      <c r="A95" s="7" t="n">
        <v>116</v>
      </c>
      <c r="B95" s="7" t="inlineStr"/>
      <c r="C95" s="7" t="inlineStr">
        <is>
          <t>Update Fixed Deposit CTA</t>
        </is>
      </c>
      <c r="D95" s="7" t="inlineStr"/>
      <c r="E95" s="7" t="inlineStr"/>
      <c r="F95" s="7" t="inlineStr"/>
    </row>
    <row r="96">
      <c r="A96" s="9" t="n">
        <v>116</v>
      </c>
      <c r="B96" s="9" t="inlineStr"/>
      <c r="C96" s="9" t="inlineStr">
        <is>
          <t>Update Group Accounts CTA</t>
        </is>
      </c>
      <c r="D96" s="9" t="inlineStr"/>
      <c r="E96" s="9" t="inlineStr"/>
      <c r="F96" s="9" t="inlineStr"/>
    </row>
    <row r="97">
      <c r="A97" s="7" t="n">
        <v>116</v>
      </c>
      <c r="B97" s="7" t="inlineStr"/>
      <c r="C97" s="7" t="inlineStr">
        <is>
          <t>Update Digital Banking CTA</t>
        </is>
      </c>
      <c r="D97" s="7" t="inlineStr"/>
      <c r="E97" s="7" t="inlineStr"/>
      <c r="F97" s="7" t="inlineStr"/>
    </row>
    <row r="98">
      <c r="A98" s="9" t="n">
        <v>116</v>
      </c>
      <c r="B98" s="9" t="inlineStr"/>
      <c r="C98" s="9" t="inlineStr">
        <is>
          <t>Update mobile app links</t>
        </is>
      </c>
      <c r="D98" s="9" t="inlineStr"/>
      <c r="E98" s="9" t="inlineStr"/>
      <c r="F98" s="9" t="inlineStr"/>
    </row>
    <row r="99">
      <c r="A99" s="7" t="n">
        <v>116</v>
      </c>
      <c r="B99" s="7" t="inlineStr"/>
      <c r="C99" s="7" t="inlineStr">
        <is>
          <t>Test all CTAs desktop + mobile</t>
        </is>
      </c>
      <c r="D99" s="7" t="inlineStr"/>
      <c r="E99" s="7" t="inlineStr"/>
      <c r="F99" s="7" t="inlineStr"/>
    </row>
    <row r="100">
      <c r="A100" s="9" t="n">
        <v>116</v>
      </c>
      <c r="B100" s="9" t="inlineStr"/>
      <c r="C100" s="9" t="inlineStr">
        <is>
          <t>Verify no broken links</t>
        </is>
      </c>
      <c r="D100" s="9" t="inlineStr"/>
      <c r="E100" s="9" t="inlineStr"/>
      <c r="F100" s="9" t="inlineStr"/>
    </row>
    <row r="101">
      <c r="A101" s="7" t="n">
        <v>118</v>
      </c>
      <c r="B101" s="20" t="inlineStr">
        <is>
          <t>Awaiting: Agent Database</t>
        </is>
      </c>
      <c r="C101" s="7" t="inlineStr">
        <is>
          <t>Request from CBT ops (CSV/Excel)</t>
        </is>
      </c>
      <c r="D101" s="7" t="inlineStr"/>
      <c r="E101" s="7" t="inlineStr"/>
      <c r="F101" s="7" t="inlineStr"/>
    </row>
    <row r="102">
      <c r="A102" s="9" t="n">
        <v>118</v>
      </c>
      <c r="B102" s="9" t="inlineStr"/>
      <c r="C102" s="9" t="inlineStr">
        <is>
          <t>Define format: Name | Location | Region | Contact | GPS</t>
        </is>
      </c>
      <c r="D102" s="9" t="inlineStr"/>
      <c r="E102" s="9" t="inlineStr"/>
      <c r="F102" s="9" t="inlineStr"/>
    </row>
    <row r="103">
      <c r="A103" s="7" t="n">
        <v>118</v>
      </c>
      <c r="B103" s="7" t="inlineStr"/>
      <c r="C103" s="7" t="inlineStr">
        <is>
          <t>Receive and validate data</t>
        </is>
      </c>
      <c r="D103" s="7" t="inlineStr"/>
      <c r="E103" s="7" t="inlineStr"/>
      <c r="F103" s="7" t="inlineStr"/>
    </row>
    <row r="104">
      <c r="A104" s="9" t="n">
        <v>118</v>
      </c>
      <c r="B104" s="9" t="inlineStr"/>
      <c r="C104" s="9" t="inlineStr">
        <is>
          <t>Clean and normalize data</t>
        </is>
      </c>
      <c r="D104" s="9" t="inlineStr"/>
      <c r="E104" s="9" t="inlineStr"/>
      <c r="F104" s="9" t="inlineStr"/>
    </row>
    <row r="105">
      <c r="A105" s="7" t="n">
        <v>118</v>
      </c>
      <c r="B105" s="7" t="inlineStr"/>
      <c r="C105" s="7" t="inlineStr">
        <is>
          <t>Create agents JSON/API endpoint</t>
        </is>
      </c>
      <c r="D105" s="7" t="inlineStr"/>
      <c r="E105" s="7" t="inlineStr"/>
      <c r="F105" s="7" t="inlineStr"/>
    </row>
    <row r="106">
      <c r="A106" s="9" t="n">
        <v>118</v>
      </c>
      <c r="B106" s="9" t="inlineStr"/>
      <c r="C106" s="9" t="inlineStr">
        <is>
          <t>Build agent locator search UI</t>
        </is>
      </c>
      <c r="D106" s="9" t="inlineStr"/>
      <c r="E106" s="9" t="inlineStr"/>
      <c r="F106" s="9" t="inlineStr"/>
    </row>
    <row r="107">
      <c r="A107" s="7" t="n">
        <v>118</v>
      </c>
      <c r="B107" s="7" t="inlineStr"/>
      <c r="C107" s="7" t="inlineStr">
        <is>
          <t>Build agent card component</t>
        </is>
      </c>
      <c r="D107" s="7" t="inlineStr"/>
      <c r="E107" s="7" t="inlineStr"/>
      <c r="F107" s="7" t="inlineStr"/>
    </row>
    <row r="108">
      <c r="A108" s="9" t="n">
        <v>118</v>
      </c>
      <c r="B108" s="9" t="inlineStr"/>
      <c r="C108" s="9" t="inlineStr">
        <is>
          <t>Integrate Google Maps pins</t>
        </is>
      </c>
      <c r="D108" s="9" t="inlineStr"/>
      <c r="E108" s="9" t="inlineStr"/>
      <c r="F108" s="9" t="inlineStr"/>
    </row>
    <row r="109">
      <c r="A109" s="7" t="n">
        <v>118</v>
      </c>
      <c r="B109" s="7" t="inlineStr"/>
      <c r="C109" s="7" t="inlineStr">
        <is>
          <t>Add geolocation: Find Nearest Agent</t>
        </is>
      </c>
      <c r="D109" s="7" t="inlineStr"/>
      <c r="E109" s="7" t="inlineStr"/>
      <c r="F109" s="7" t="inlineStr"/>
    </row>
    <row r="110">
      <c r="A110" s="9" t="n">
        <v>118</v>
      </c>
      <c r="B110" s="9" t="inlineStr"/>
      <c r="C110" s="9" t="inlineStr">
        <is>
          <t>Add region filter dropdown</t>
        </is>
      </c>
      <c r="D110" s="9" t="inlineStr"/>
      <c r="E110" s="9" t="inlineStr"/>
      <c r="F110" s="9" t="inlineStr"/>
    </row>
    <row r="111">
      <c r="A111" s="7" t="n">
        <v>118</v>
      </c>
      <c r="B111" s="7" t="inlineStr"/>
      <c r="C111" s="7" t="inlineStr">
        <is>
          <t>Mobile responsive locator</t>
        </is>
      </c>
      <c r="D111" s="7" t="inlineStr"/>
      <c r="E111" s="7" t="inlineStr"/>
      <c r="F111" s="7" t="inlineStr"/>
    </row>
    <row r="112">
      <c r="A112" s="9" t="n">
        <v>118</v>
      </c>
      <c r="B112" s="9" t="inlineStr"/>
      <c r="C112" s="9" t="inlineStr">
        <is>
          <t>Test with sample data</t>
        </is>
      </c>
      <c r="D112" s="9" t="inlineStr"/>
      <c r="E112" s="9" t="inlineStr"/>
      <c r="F112" s="9" t="inlineStr"/>
    </row>
    <row r="113">
      <c r="A113" s="7" t="n">
        <v>118</v>
      </c>
      <c r="B113" s="7" t="inlineStr"/>
      <c r="C113" s="7" t="inlineStr">
        <is>
          <t>Populate production data</t>
        </is>
      </c>
      <c r="D113" s="7" t="inlineStr"/>
      <c r="E113" s="7" t="inlineStr"/>
      <c r="F113" s="7" t="inlineStr"/>
    </row>
    <row r="114">
      <c r="A114" s="7" t="n">
        <v>66</v>
      </c>
      <c r="B114" s="20" t="inlineStr">
        <is>
          <t>Swahili Translation</t>
        </is>
      </c>
      <c r="C114" s="7" t="inlineStr">
        <is>
          <t>Set up i18n framework</t>
        </is>
      </c>
      <c r="D114" s="7" t="inlineStr"/>
      <c r="E114" s="7" t="inlineStr"/>
      <c r="F114" s="7" t="inlineStr"/>
    </row>
    <row r="115">
      <c r="A115" s="9" t="n">
        <v>66</v>
      </c>
      <c r="B115" s="9" t="inlineStr"/>
      <c r="C115" s="9" t="inlineStr">
        <is>
          <t>Translate Homepage</t>
        </is>
      </c>
      <c r="D115" s="9" t="inlineStr"/>
      <c r="E115" s="9" t="inlineStr"/>
      <c r="F115" s="9" t="inlineStr"/>
    </row>
    <row r="116">
      <c r="A116" s="7" t="n">
        <v>66</v>
      </c>
      <c r="B116" s="7" t="inlineStr"/>
      <c r="C116" s="7" t="inlineStr">
        <is>
          <t>Translate Personal Banking</t>
        </is>
      </c>
      <c r="D116" s="7" t="inlineStr"/>
      <c r="E116" s="7" t="inlineStr"/>
      <c r="F116" s="7" t="inlineStr"/>
    </row>
    <row r="117">
      <c r="A117" s="9" t="n">
        <v>66</v>
      </c>
      <c r="B117" s="9" t="inlineStr"/>
      <c r="C117" s="9" t="inlineStr">
        <is>
          <t>Translate Digital Banking</t>
        </is>
      </c>
      <c r="D117" s="9" t="inlineStr"/>
      <c r="E117" s="9" t="inlineStr"/>
      <c r="F117" s="9" t="inlineStr"/>
    </row>
    <row r="118">
      <c r="A118" s="7" t="n">
        <v>66</v>
      </c>
      <c r="B118" s="7" t="inlineStr"/>
      <c r="C118" s="7" t="inlineStr">
        <is>
          <t>Translate Loan Products</t>
        </is>
      </c>
      <c r="D118" s="7" t="inlineStr"/>
      <c r="E118" s="7" t="inlineStr"/>
      <c r="F118" s="7" t="inlineStr"/>
    </row>
    <row r="119">
      <c r="A119" s="9" t="n">
        <v>66</v>
      </c>
      <c r="B119" s="9" t="inlineStr"/>
      <c r="C119" s="9" t="inlineStr">
        <is>
          <t>Translate About Us</t>
        </is>
      </c>
      <c r="D119" s="9" t="inlineStr"/>
      <c r="E119" s="9" t="inlineStr"/>
      <c r="F119" s="9" t="inlineStr"/>
    </row>
    <row r="120">
      <c r="A120" s="7" t="n">
        <v>66</v>
      </c>
      <c r="B120" s="7" t="inlineStr"/>
      <c r="C120" s="7" t="inlineStr">
        <is>
          <t>Translate Business Banking</t>
        </is>
      </c>
      <c r="D120" s="7" t="inlineStr"/>
      <c r="E120" s="7" t="inlineStr"/>
      <c r="F120" s="7" t="inlineStr"/>
    </row>
    <row r="121">
      <c r="A121" s="9" t="n">
        <v>66</v>
      </c>
      <c r="B121" s="9" t="inlineStr"/>
      <c r="C121" s="9" t="inlineStr">
        <is>
          <t>Translate Contact/FAQs/Blog</t>
        </is>
      </c>
      <c r="D121" s="9" t="inlineStr"/>
      <c r="E121" s="9" t="inlineStr"/>
      <c r="F121" s="9" t="inlineStr"/>
    </row>
    <row r="122">
      <c r="A122" s="7" t="n">
        <v>66</v>
      </c>
      <c r="B122" s="7" t="inlineStr"/>
      <c r="C122" s="7" t="inlineStr">
        <is>
          <t>Translate Careers/Tenders/Whistleblower</t>
        </is>
      </c>
      <c r="D122" s="7" t="inlineStr"/>
      <c r="E122" s="7" t="inlineStr"/>
      <c r="F122" s="7" t="inlineStr"/>
    </row>
    <row r="123">
      <c r="A123" s="9" t="n">
        <v>66</v>
      </c>
      <c r="B123" s="9" t="inlineStr"/>
      <c r="C123" s="9" t="inlineStr">
        <is>
          <t>Translate Privacy/Terms</t>
        </is>
      </c>
      <c r="D123" s="9" t="inlineStr"/>
      <c r="E123" s="9" t="inlineStr"/>
      <c r="F123" s="9" t="inlineStr"/>
    </row>
    <row r="124">
      <c r="A124" s="7" t="n">
        <v>66</v>
      </c>
      <c r="B124" s="7" t="inlineStr"/>
      <c r="C124" s="7" t="inlineStr">
        <is>
          <t>Build EN/SW toggle in navbar</t>
        </is>
      </c>
      <c r="D124" s="7" t="inlineStr"/>
      <c r="E124" s="7" t="inlineStr"/>
      <c r="F124" s="7" t="inlineStr"/>
    </row>
    <row r="125">
      <c r="A125" s="9" t="n">
        <v>66</v>
      </c>
      <c r="B125" s="9" t="inlineStr"/>
      <c r="C125" s="9" t="inlineStr">
        <is>
          <t>Persist language in localStorage</t>
        </is>
      </c>
      <c r="D125" s="9" t="inlineStr"/>
      <c r="E125" s="9" t="inlineStr"/>
      <c r="F125" s="9" t="inlineStr"/>
    </row>
    <row r="126">
      <c r="A126" s="7" t="n">
        <v>66</v>
      </c>
      <c r="B126" s="7" t="inlineStr"/>
      <c r="C126" s="7" t="inlineStr">
        <is>
          <t>Test Swahili layouts</t>
        </is>
      </c>
      <c r="D126" s="7" t="inlineStr"/>
      <c r="E126" s="7" t="inlineStr"/>
      <c r="F126" s="7" t="inlineStr"/>
    </row>
    <row r="127">
      <c r="A127" s="9" t="n">
        <v>66</v>
      </c>
      <c r="B127" s="9" t="inlineStr"/>
      <c r="C127" s="9" t="inlineStr">
        <is>
          <t>Native speaker review</t>
        </is>
      </c>
      <c r="D127" s="9" t="inlineStr"/>
      <c r="E127" s="9" t="inlineStr"/>
      <c r="F127" s="9" t="inlineStr"/>
    </row>
    <row r="128">
      <c r="A128" s="7" t="n">
        <v>66</v>
      </c>
      <c r="B128" s="7" t="inlineStr"/>
      <c r="C128" s="7" t="inlineStr">
        <is>
          <t>QA all Swahili pages</t>
        </is>
      </c>
      <c r="D128" s="7" t="inlineStr"/>
      <c r="E128" s="7" t="inlineStr"/>
      <c r="F128" s="7" t="inlineStr"/>
    </row>
    <row r="129">
      <c r="A129" s="7" t="n">
        <v>70</v>
      </c>
      <c r="B129" s="20" t="inlineStr">
        <is>
          <t>Cross-Browser Testing</t>
        </is>
      </c>
      <c r="C129" s="7" t="inlineStr">
        <is>
          <t>Chrome desktop + mobile</t>
        </is>
      </c>
      <c r="D129" s="7" t="inlineStr"/>
      <c r="E129" s="7" t="inlineStr"/>
      <c r="F129" s="7" t="inlineStr"/>
    </row>
    <row r="130">
      <c r="A130" s="9" t="n">
        <v>70</v>
      </c>
      <c r="B130" s="9" t="inlineStr"/>
      <c r="C130" s="9" t="inlineStr">
        <is>
          <t>Safari desktop + iOS</t>
        </is>
      </c>
      <c r="D130" s="9" t="inlineStr"/>
      <c r="E130" s="9" t="inlineStr"/>
      <c r="F130" s="9" t="inlineStr"/>
    </row>
    <row r="131">
      <c r="A131" s="7" t="n">
        <v>70</v>
      </c>
      <c r="B131" s="7" t="inlineStr"/>
      <c r="C131" s="7" t="inlineStr">
        <is>
          <t>Firefox desktop</t>
        </is>
      </c>
      <c r="D131" s="7" t="inlineStr"/>
      <c r="E131" s="7" t="inlineStr"/>
      <c r="F131" s="7" t="inlineStr"/>
    </row>
    <row r="132">
      <c r="A132" s="9" t="n">
        <v>70</v>
      </c>
      <c r="B132" s="9" t="inlineStr"/>
      <c r="C132" s="9" t="inlineStr">
        <is>
          <t>Edge desktop</t>
        </is>
      </c>
      <c r="D132" s="9" t="inlineStr"/>
      <c r="E132" s="9" t="inlineStr"/>
      <c r="F132" s="9" t="inlineStr"/>
    </row>
    <row r="133">
      <c r="A133" s="7" t="n">
        <v>70</v>
      </c>
      <c r="B133" s="7" t="inlineStr"/>
      <c r="C133" s="7" t="inlineStr">
        <is>
          <t>Samsung Internet Android</t>
        </is>
      </c>
      <c r="D133" s="7" t="inlineStr"/>
      <c r="E133" s="7" t="inlineStr"/>
      <c r="F133" s="7" t="inlineStr"/>
    </row>
    <row r="134">
      <c r="A134" s="9" t="n">
        <v>70</v>
      </c>
      <c r="B134" s="9" t="inlineStr"/>
      <c r="C134" s="9" t="inlineStr">
        <is>
          <t>Breakpoints: 320, 375, 414, 768, 1024, 1440</t>
        </is>
      </c>
      <c r="D134" s="9" t="inlineStr"/>
      <c r="E134" s="9" t="inlineStr"/>
      <c r="F134" s="9" t="inlineStr"/>
    </row>
    <row r="135">
      <c r="A135" s="7" t="n">
        <v>70</v>
      </c>
      <c r="B135" s="7" t="inlineStr"/>
      <c r="C135" s="7" t="inlineStr">
        <is>
          <t>Landscape orientation</t>
        </is>
      </c>
      <c r="D135" s="7" t="inlineStr"/>
      <c r="E135" s="7" t="inlineStr"/>
      <c r="F135" s="7" t="inlineStr"/>
    </row>
    <row r="136">
      <c r="A136" s="9" t="n">
        <v>70</v>
      </c>
      <c r="B136" s="9" t="inlineStr"/>
      <c r="C136" s="9" t="inlineStr">
        <is>
          <t>Fix overflow issues</t>
        </is>
      </c>
      <c r="D136" s="9" t="inlineStr"/>
      <c r="E136" s="9" t="inlineStr"/>
      <c r="F136" s="9" t="inlineStr"/>
    </row>
    <row r="137">
      <c r="A137" s="7" t="n">
        <v>70</v>
      </c>
      <c r="B137" s="7" t="inlineStr"/>
      <c r="C137" s="7" t="inlineStr">
        <is>
          <t>Test interactive elements</t>
        </is>
      </c>
      <c r="D137" s="7" t="inlineStr"/>
      <c r="E137" s="7" t="inlineStr"/>
      <c r="F137" s="7" t="inlineStr"/>
    </row>
    <row r="138">
      <c r="A138" s="9" t="n">
        <v>70</v>
      </c>
      <c r="B138" s="9" t="inlineStr"/>
      <c r="C138" s="9" t="inlineStr">
        <is>
          <t>Test mega menu</t>
        </is>
      </c>
      <c r="D138" s="9" t="inlineStr"/>
      <c r="E138" s="9" t="inlineStr"/>
      <c r="F138" s="9" t="inlineStr"/>
    </row>
    <row r="139">
      <c r="A139" s="7" t="n">
        <v>70</v>
      </c>
      <c r="B139" s="7" t="inlineStr"/>
      <c r="C139" s="7" t="inlineStr">
        <is>
          <t>Test chatbot mobile</t>
        </is>
      </c>
      <c r="D139" s="7" t="inlineStr"/>
      <c r="E139" s="7" t="inlineStr"/>
      <c r="F139" s="7" t="inlineStr"/>
    </row>
    <row r="140">
      <c r="A140" s="9" t="n">
        <v>70</v>
      </c>
      <c r="B140" s="9" t="inlineStr"/>
      <c r="C140" s="9" t="inlineStr">
        <is>
          <t>Test forex ticker</t>
        </is>
      </c>
      <c r="D140" s="9" t="inlineStr"/>
      <c r="E140" s="9" t="inlineStr"/>
      <c r="F140" s="9" t="inlineStr"/>
    </row>
    <row r="141">
      <c r="A141" s="7" t="n">
        <v>74</v>
      </c>
      <c r="B141" s="20" t="inlineStr">
        <is>
          <t>DNS Migration &amp; Go-Live</t>
        </is>
      </c>
      <c r="C141" s="7" t="inlineStr">
        <is>
          <t>Get DNS credentials from CBT IT</t>
        </is>
      </c>
      <c r="D141" s="7" t="inlineStr"/>
      <c r="E141" s="7" t="inlineStr"/>
      <c r="F141" s="7" t="inlineStr"/>
    </row>
    <row r="142">
      <c r="A142" s="9" t="n">
        <v>74</v>
      </c>
      <c r="B142" s="9" t="inlineStr"/>
      <c r="C142" s="9" t="inlineStr">
        <is>
          <t>Backup current coopbank.co.tz</t>
        </is>
      </c>
      <c r="D142" s="9" t="inlineStr"/>
      <c r="E142" s="9" t="inlineStr"/>
      <c r="F142" s="9" t="inlineStr"/>
    </row>
    <row r="143">
      <c r="A143" s="7" t="n">
        <v>74</v>
      </c>
      <c r="B143" s="7" t="inlineStr"/>
      <c r="C143" s="7" t="inlineStr">
        <is>
          <t>Configure production Cloud Run</t>
        </is>
      </c>
      <c r="D143" s="7" t="inlineStr"/>
      <c r="E143" s="7" t="inlineStr"/>
      <c r="F143" s="7" t="inlineStr"/>
    </row>
    <row r="144">
      <c r="A144" s="9" t="n">
        <v>74</v>
      </c>
      <c r="B144" s="9" t="inlineStr"/>
      <c r="C144" s="9" t="inlineStr">
        <is>
          <t>Set up domain + SSL</t>
        </is>
      </c>
      <c r="D144" s="9" t="inlineStr"/>
      <c r="E144" s="9" t="inlineStr"/>
      <c r="F144" s="9" t="inlineStr"/>
    </row>
    <row r="145">
      <c r="A145" s="7" t="n">
        <v>74</v>
      </c>
      <c r="B145" s="7" t="inlineStr"/>
      <c r="C145" s="7" t="inlineStr">
        <is>
          <t>Update DNS records</t>
        </is>
      </c>
      <c r="D145" s="7" t="inlineStr"/>
      <c r="E145" s="7" t="inlineStr"/>
      <c r="F145" s="7" t="inlineStr"/>
    </row>
    <row r="146">
      <c r="A146" s="9" t="n">
        <v>74</v>
      </c>
      <c r="B146" s="9" t="inlineStr"/>
      <c r="C146" s="9" t="inlineStr">
        <is>
          <t>Configure 301 redirects</t>
        </is>
      </c>
      <c r="D146" s="9" t="inlineStr"/>
      <c r="E146" s="9" t="inlineStr"/>
      <c r="F146" s="9" t="inlineStr"/>
    </row>
    <row r="147">
      <c r="A147" s="7" t="n">
        <v>74</v>
      </c>
      <c r="B147" s="7" t="inlineStr"/>
      <c r="C147" s="7" t="inlineStr">
        <is>
          <t>Verify DNS propagation</t>
        </is>
      </c>
      <c r="D147" s="7" t="inlineStr"/>
      <c r="E147" s="7" t="inlineStr"/>
      <c r="F147" s="7" t="inlineStr"/>
    </row>
    <row r="148">
      <c r="A148" s="9" t="n">
        <v>74</v>
      </c>
      <c r="B148" s="9" t="inlineStr"/>
      <c r="C148" s="9" t="inlineStr">
        <is>
          <t>E2E test production</t>
        </is>
      </c>
      <c r="D148" s="9" t="inlineStr"/>
      <c r="E148" s="9" t="inlineStr"/>
      <c r="F148" s="9" t="inlineStr"/>
    </row>
    <row r="149">
      <c r="A149" s="7" t="n">
        <v>74</v>
      </c>
      <c r="B149" s="7" t="inlineStr"/>
      <c r="C149" s="7" t="inlineStr">
        <is>
          <t>Submit sitemap to Search Console</t>
        </is>
      </c>
      <c r="D149" s="7" t="inlineStr"/>
      <c r="E149" s="7" t="inlineStr"/>
      <c r="F149" s="7" t="inlineStr"/>
    </row>
    <row r="150">
      <c r="A150" s="9" t="n">
        <v>74</v>
      </c>
      <c r="B150" s="9" t="inlineStr"/>
      <c r="C150" s="9" t="inlineStr">
        <is>
          <t>Verify GA4 on production</t>
        </is>
      </c>
      <c r="D150" s="9" t="inlineStr"/>
      <c r="E150" s="9" t="inlineStr"/>
      <c r="F150" s="9" t="inlineStr"/>
    </row>
    <row r="151">
      <c r="A151" s="7" t="n">
        <v>74</v>
      </c>
      <c r="B151" s="7" t="inlineStr"/>
      <c r="C151" s="7" t="inlineStr">
        <is>
          <t>Monitor first 24 hours</t>
        </is>
      </c>
      <c r="D151" s="7" t="inlineStr"/>
      <c r="E151" s="7" t="inlineStr"/>
      <c r="F151" s="7" t="inlineStr"/>
    </row>
    <row r="152">
      <c r="A152" s="7" t="n">
        <v>76</v>
      </c>
      <c r="B152" s="20" t="inlineStr">
        <is>
          <t>Post-Launch Monitoring</t>
        </is>
      </c>
      <c r="C152" s="7" t="inlineStr">
        <is>
          <t>Set up uptime monitoring</t>
        </is>
      </c>
      <c r="D152" s="7" t="inlineStr"/>
      <c r="E152" s="7" t="inlineStr"/>
      <c r="F152" s="7" t="inlineStr"/>
    </row>
    <row r="153">
      <c r="A153" s="9" t="n">
        <v>76</v>
      </c>
      <c r="B153" s="9" t="inlineStr"/>
      <c r="C153" s="9" t="inlineStr">
        <is>
          <t>Configure error alerting</t>
        </is>
      </c>
      <c r="D153" s="9" t="inlineStr"/>
      <c r="E153" s="9" t="inlineStr"/>
      <c r="F153" s="9" t="inlineStr"/>
    </row>
    <row r="154">
      <c r="A154" s="7" t="n">
        <v>76</v>
      </c>
      <c r="B154" s="7" t="inlineStr"/>
      <c r="C154" s="7" t="inlineStr">
        <is>
          <t>Week 1: Daily performance check</t>
        </is>
      </c>
      <c r="D154" s="7" t="inlineStr"/>
      <c r="E154" s="7" t="inlineStr"/>
      <c r="F154" s="7" t="inlineStr"/>
    </row>
    <row r="155">
      <c r="A155" s="9" t="n">
        <v>76</v>
      </c>
      <c r="B155" s="9" t="inlineStr"/>
      <c r="C155" s="9" t="inlineStr">
        <is>
          <t>Week 1: Search Console monitoring</t>
        </is>
      </c>
      <c r="D155" s="9" t="inlineStr"/>
      <c r="E155" s="9" t="inlineStr"/>
      <c r="F155" s="9" t="inlineStr"/>
    </row>
    <row r="156">
      <c r="A156" s="7" t="n">
        <v>76</v>
      </c>
      <c r="B156" s="7" t="inlineStr"/>
      <c r="C156" s="7" t="inlineStr">
        <is>
          <t>Week 2: Review GA4 analytics</t>
        </is>
      </c>
      <c r="D156" s="7" t="inlineStr"/>
      <c r="E156" s="7" t="inlineStr"/>
      <c r="F156" s="7" t="inlineStr"/>
    </row>
    <row r="157">
      <c r="A157" s="9" t="n">
        <v>76</v>
      </c>
      <c r="B157" s="9" t="inlineStr"/>
      <c r="C157" s="9" t="inlineStr">
        <is>
          <t>Week 2: Fix reported issues</t>
        </is>
      </c>
      <c r="D157" s="9" t="inlineStr"/>
      <c r="E157" s="9" t="inlineStr"/>
      <c r="F157" s="9" t="inlineStr"/>
    </row>
    <row r="158">
      <c r="A158" s="7" t="n">
        <v>76</v>
      </c>
      <c r="B158" s="7" t="inlineStr"/>
      <c r="C158" s="7" t="inlineStr">
        <is>
          <t>Week 3-4: Weekly review</t>
        </is>
      </c>
      <c r="D158" s="7" t="inlineStr"/>
      <c r="E158" s="7" t="inlineStr"/>
      <c r="F158" s="7" t="inlineStr"/>
    </row>
    <row r="159">
      <c r="A159" s="9" t="n">
        <v>76</v>
      </c>
      <c r="B159" s="9" t="inlineStr"/>
      <c r="C159" s="9" t="inlineStr">
        <is>
          <t>Week 3-4: Remaining bugs</t>
        </is>
      </c>
      <c r="D159" s="9" t="inlineStr"/>
      <c r="E159" s="9" t="inlineStr"/>
      <c r="F159" s="9" t="inlineStr"/>
    </row>
    <row r="160">
      <c r="A160" s="7" t="n">
        <v>76</v>
      </c>
      <c r="B160" s="7" t="inlineStr"/>
      <c r="C160" s="7" t="inlineStr">
        <is>
          <t>Day 30: Final performance report</t>
        </is>
      </c>
      <c r="D160" s="7" t="inlineStr"/>
      <c r="E160" s="7" t="inlineStr"/>
      <c r="F160" s="7" t="inlineStr"/>
    </row>
    <row r="161">
      <c r="A161" s="9" t="n">
        <v>76</v>
      </c>
      <c r="B161" s="9" t="inlineStr"/>
      <c r="C161" s="9" t="inlineStr">
        <is>
          <t>Day 30: Credential handover</t>
        </is>
      </c>
      <c r="D161" s="9" t="inlineStr"/>
      <c r="E161" s="9" t="inlineStr"/>
      <c r="F161" s="9" t="inlineStr"/>
    </row>
    <row r="162">
      <c r="A162" s="7" t="n">
        <v>76</v>
      </c>
      <c r="B162" s="7" t="inlineStr"/>
      <c r="C162" s="7" t="inlineStr">
        <is>
          <t>Day 30: Discuss maintenance contract</t>
        </is>
      </c>
      <c r="D162" s="7" t="inlineStr"/>
      <c r="E162" s="7" t="inlineStr"/>
      <c r="F162" s="7" t="inlineStr"/>
    </row>
  </sheetData>
  <autoFilter ref="A2:F163"/>
  <mergeCells count="1">
    <mergeCell ref="A1:F1"/>
  </mergeCells>
  <conditionalFormatting sqref="C3:C163">
    <cfRule type="expression" priority="1" dxfId="9">
      <formula>$D3="Yes"</formula>
    </cfRule>
  </conditionalFormatting>
  <conditionalFormatting sqref="D3:D163">
    <cfRule type="cellIs" priority="2" operator="equal" dxfId="0">
      <formula>"Yes"</formula>
    </cfRule>
  </conditionalFormatting>
  <dataValidations count="1">
    <dataValidation sqref="D3:D16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CI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5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</cols>
  <sheetData>
    <row r="1">
      <c r="A1" s="1" t="inlineStr">
        <is>
          <t>Project Timeline (Gantt)</t>
        </is>
      </c>
      <c r="AG1" s="21" t="inlineStr">
        <is>
          <t>April</t>
        </is>
      </c>
      <c r="BK1" s="21" t="inlineStr">
        <is>
          <t>May</t>
        </is>
      </c>
    </row>
    <row r="2">
      <c r="A2" s="22" t="inlineStr">
        <is>
          <t>Task</t>
        </is>
      </c>
      <c r="B2" s="22" t="inlineStr">
        <is>
          <t>Status</t>
        </is>
      </c>
      <c r="C2" s="23" t="n">
        <v>2</v>
      </c>
      <c r="D2" s="23" t="n">
        <v>3</v>
      </c>
      <c r="E2" s="23" t="n">
        <v>4</v>
      </c>
      <c r="F2" s="23" t="n">
        <v>5</v>
      </c>
      <c r="G2" s="23" t="n">
        <v>6</v>
      </c>
      <c r="H2" s="24" t="n">
        <v>7</v>
      </c>
      <c r="I2" s="24" t="n">
        <v>8</v>
      </c>
      <c r="J2" s="23" t="n">
        <v>9</v>
      </c>
      <c r="K2" s="23" t="n">
        <v>10</v>
      </c>
      <c r="L2" s="23" t="n">
        <v>11</v>
      </c>
      <c r="M2" s="23" t="n">
        <v>12</v>
      </c>
      <c r="N2" s="23" t="n">
        <v>13</v>
      </c>
      <c r="O2" s="24" t="n">
        <v>14</v>
      </c>
      <c r="P2" s="24" t="n">
        <v>15</v>
      </c>
      <c r="Q2" s="23" t="n">
        <v>16</v>
      </c>
      <c r="R2" s="23" t="n">
        <v>17</v>
      </c>
      <c r="S2" s="23" t="n">
        <v>18</v>
      </c>
      <c r="T2" s="23" t="n">
        <v>19</v>
      </c>
      <c r="U2" s="23" t="n">
        <v>20</v>
      </c>
      <c r="V2" s="24" t="n">
        <v>21</v>
      </c>
      <c r="W2" s="24" t="n">
        <v>22</v>
      </c>
      <c r="X2" s="23" t="n">
        <v>23</v>
      </c>
      <c r="Y2" s="23" t="n">
        <v>24</v>
      </c>
      <c r="Z2" s="23" t="n">
        <v>25</v>
      </c>
      <c r="AA2" s="25" t="n">
        <v>26</v>
      </c>
      <c r="AB2" s="23" t="n">
        <v>27</v>
      </c>
      <c r="AC2" s="24" t="n">
        <v>28</v>
      </c>
      <c r="AD2" s="24" t="n">
        <v>29</v>
      </c>
      <c r="AE2" s="23" t="n">
        <v>30</v>
      </c>
      <c r="AF2" s="23" t="n">
        <v>31</v>
      </c>
      <c r="AG2" s="23" t="n">
        <v>1</v>
      </c>
      <c r="AH2" s="23" t="n">
        <v>2</v>
      </c>
      <c r="AI2" s="23" t="n">
        <v>3</v>
      </c>
      <c r="AJ2" s="24" t="n">
        <v>4</v>
      </c>
      <c r="AK2" s="24" t="n">
        <v>5</v>
      </c>
      <c r="AL2" s="23" t="n">
        <v>6</v>
      </c>
      <c r="AM2" s="23" t="n">
        <v>7</v>
      </c>
      <c r="AN2" s="23" t="n">
        <v>8</v>
      </c>
      <c r="AO2" s="23" t="n">
        <v>9</v>
      </c>
      <c r="AP2" s="23" t="n">
        <v>10</v>
      </c>
      <c r="AQ2" s="24" t="n">
        <v>11</v>
      </c>
      <c r="AR2" s="24" t="n">
        <v>12</v>
      </c>
      <c r="AS2" s="23" t="n">
        <v>13</v>
      </c>
      <c r="AT2" s="23" t="n">
        <v>14</v>
      </c>
      <c r="AU2" s="23" t="n">
        <v>15</v>
      </c>
      <c r="AV2" s="23" t="n">
        <v>16</v>
      </c>
      <c r="AW2" s="23" t="n">
        <v>17</v>
      </c>
      <c r="AX2" s="24" t="n">
        <v>18</v>
      </c>
      <c r="AY2" s="24" t="n">
        <v>19</v>
      </c>
      <c r="AZ2" s="23" t="n">
        <v>20</v>
      </c>
      <c r="BA2" s="23" t="n">
        <v>21</v>
      </c>
      <c r="BB2" s="23" t="n">
        <v>22</v>
      </c>
      <c r="BC2" s="23" t="n">
        <v>23</v>
      </c>
      <c r="BD2" s="23" t="n">
        <v>24</v>
      </c>
      <c r="BE2" s="24" t="n">
        <v>25</v>
      </c>
      <c r="BF2" s="24" t="n">
        <v>26</v>
      </c>
      <c r="BG2" s="23" t="n">
        <v>27</v>
      </c>
      <c r="BH2" s="23" t="n">
        <v>28</v>
      </c>
      <c r="BI2" s="23" t="n">
        <v>29</v>
      </c>
      <c r="BJ2" s="23" t="n">
        <v>30</v>
      </c>
      <c r="BK2" s="23" t="n">
        <v>1</v>
      </c>
      <c r="BL2" s="24" t="n">
        <v>2</v>
      </c>
      <c r="BM2" s="24" t="n">
        <v>3</v>
      </c>
      <c r="BN2" s="23" t="n">
        <v>4</v>
      </c>
      <c r="BO2" s="23" t="n">
        <v>5</v>
      </c>
      <c r="BP2" s="23" t="n">
        <v>6</v>
      </c>
      <c r="BQ2" s="23" t="n">
        <v>7</v>
      </c>
      <c r="BR2" s="23" t="n">
        <v>8</v>
      </c>
      <c r="BS2" s="24" t="n">
        <v>9</v>
      </c>
      <c r="BT2" s="24" t="n">
        <v>10</v>
      </c>
      <c r="BU2" s="23" t="n">
        <v>11</v>
      </c>
      <c r="BV2" s="23" t="n">
        <v>12</v>
      </c>
      <c r="BW2" s="23" t="n">
        <v>13</v>
      </c>
      <c r="BX2" s="23" t="n">
        <v>14</v>
      </c>
      <c r="BY2" s="23" t="n">
        <v>15</v>
      </c>
      <c r="BZ2" s="24" t="n">
        <v>16</v>
      </c>
      <c r="CA2" s="24" t="n">
        <v>17</v>
      </c>
      <c r="CB2" s="23" t="n">
        <v>18</v>
      </c>
      <c r="CC2" s="23" t="n">
        <v>19</v>
      </c>
      <c r="CD2" s="23" t="n">
        <v>20</v>
      </c>
      <c r="CE2" s="23" t="n">
        <v>21</v>
      </c>
      <c r="CF2" s="23" t="n">
        <v>22</v>
      </c>
      <c r="CG2" s="24" t="n">
        <v>23</v>
      </c>
      <c r="CH2" s="24" t="n">
        <v>24</v>
      </c>
      <c r="CI2" s="23" t="n">
        <v>25</v>
      </c>
    </row>
    <row r="3">
      <c r="A3" s="22" t="inlineStr">
        <is>
          <t>DISCOVERY &amp; PLANNING</t>
        </is>
      </c>
      <c r="B3" s="26" t="inlineStr"/>
      <c r="AA3" s="27" t="n"/>
    </row>
    <row r="4">
      <c r="A4" s="28" t="inlineStr">
        <is>
          <t>Discovery &amp; Requirements</t>
        </is>
      </c>
      <c r="B4" s="29" t="inlineStr">
        <is>
          <t>Complete</t>
        </is>
      </c>
      <c r="G4" s="30" t="n"/>
      <c r="H4" s="30" t="n"/>
      <c r="I4" s="30" t="n"/>
      <c r="AA4" s="27" t="n"/>
    </row>
    <row r="5">
      <c r="A5" s="28" t="inlineStr">
        <is>
          <t>Competitor Analysis</t>
        </is>
      </c>
      <c r="B5" s="29" t="inlineStr">
        <is>
          <t>Complete</t>
        </is>
      </c>
      <c r="H5" s="30" t="n"/>
      <c r="I5" s="30" t="n"/>
      <c r="J5" s="30" t="n"/>
      <c r="AA5" s="27" t="n"/>
    </row>
    <row r="6">
      <c r="A6" s="28" t="inlineStr">
        <is>
          <t>Sitemap &amp; IA</t>
        </is>
      </c>
      <c r="B6" s="29" t="inlineStr">
        <is>
          <t>Complete</t>
        </is>
      </c>
      <c r="I6" s="30" t="n"/>
      <c r="J6" s="30" t="n"/>
      <c r="K6" s="30" t="n"/>
      <c r="AA6" s="27" t="n"/>
    </row>
    <row r="7">
      <c r="A7" s="28" t="inlineStr">
        <is>
          <t>Content Audit</t>
        </is>
      </c>
      <c r="B7" s="29" t="inlineStr">
        <is>
          <t>Complete</t>
        </is>
      </c>
      <c r="J7" s="30" t="n"/>
      <c r="K7" s="30" t="n"/>
      <c r="L7" s="30" t="n"/>
      <c r="M7" s="30" t="n"/>
      <c r="N7" s="30" t="n"/>
      <c r="O7" s="30" t="n"/>
      <c r="AA7" s="27" t="n"/>
    </row>
    <row r="8">
      <c r="A8" s="22" t="inlineStr">
        <is>
          <t>DESIGN &amp; BUILD</t>
        </is>
      </c>
      <c r="B8" s="26" t="inlineStr"/>
      <c r="AA8" s="27" t="n"/>
    </row>
    <row r="9">
      <c r="A9" s="28" t="inlineStr">
        <is>
          <t>Project Setup</t>
        </is>
      </c>
      <c r="B9" s="29" t="inlineStr">
        <is>
          <t>Complete</t>
        </is>
      </c>
      <c r="M9" s="30" t="n"/>
      <c r="N9" s="30" t="n"/>
      <c r="AA9" s="27" t="n"/>
    </row>
    <row r="10">
      <c r="A10" s="28" t="inlineStr">
        <is>
          <t>Homepage Build</t>
        </is>
      </c>
      <c r="B10" s="29" t="inlineStr">
        <is>
          <t>Complete</t>
        </is>
      </c>
      <c r="N10" s="30" t="n"/>
      <c r="O10" s="30" t="n"/>
      <c r="P10" s="30" t="n"/>
      <c r="AA10" s="27" t="n"/>
    </row>
    <row r="11">
      <c r="A11" s="28" t="inlineStr">
        <is>
          <t>Personal/Loan Pages</t>
        </is>
      </c>
      <c r="B11" s="29" t="inlineStr">
        <is>
          <t>Complete</t>
        </is>
      </c>
      <c r="P11" s="30" t="n"/>
      <c r="Q11" s="30" t="n"/>
      <c r="AA11" s="27" t="n"/>
    </row>
    <row r="12">
      <c r="A12" s="28" t="inlineStr">
        <is>
          <t>Digital Banking Pages</t>
        </is>
      </c>
      <c r="B12" s="29" t="inlineStr">
        <is>
          <t>Complete</t>
        </is>
      </c>
      <c r="Q12" s="30" t="n"/>
      <c r="R12" s="30" t="n"/>
      <c r="AA12" s="27" t="n"/>
    </row>
    <row r="13">
      <c r="A13" s="28" t="inlineStr">
        <is>
          <t>About/Careers/Tenders</t>
        </is>
      </c>
      <c r="B13" s="29" t="inlineStr">
        <is>
          <t>Complete</t>
        </is>
      </c>
      <c r="R13" s="30" t="n"/>
      <c r="S13" s="30" t="n"/>
      <c r="AA13" s="27" t="n"/>
    </row>
    <row r="14">
      <c r="A14" s="28" t="inlineStr">
        <is>
          <t>Navbar, Footer, Components</t>
        </is>
      </c>
      <c r="B14" s="29" t="inlineStr">
        <is>
          <t>Complete</t>
        </is>
      </c>
      <c r="O14" s="30" t="n"/>
      <c r="P14" s="30" t="n"/>
      <c r="Q14" s="30" t="n"/>
      <c r="R14" s="30" t="n"/>
      <c r="S14" s="30" t="n"/>
      <c r="AA14" s="27" t="n"/>
    </row>
    <row r="15">
      <c r="A15" s="28" t="inlineStr">
        <is>
          <t>Chatbot + GA4</t>
        </is>
      </c>
      <c r="B15" s="29" t="inlineStr">
        <is>
          <t>Complete</t>
        </is>
      </c>
      <c r="R15" s="30" t="n"/>
      <c r="S15" s="30" t="n"/>
      <c r="AA15" s="27" t="n"/>
    </row>
    <row r="16">
      <c r="A16" s="22" t="inlineStr">
        <is>
          <t>CLIENT REVIEW &amp; REVISIONS</t>
        </is>
      </c>
      <c r="B16" s="26" t="inlineStr"/>
      <c r="AA16" s="27" t="n"/>
    </row>
    <row r="17">
      <c r="A17" s="28" t="inlineStr">
        <is>
          <t>First Draft Submitted</t>
        </is>
      </c>
      <c r="B17" s="29" t="inlineStr">
        <is>
          <t>Complete</t>
        </is>
      </c>
      <c r="S17" s="30" t="n"/>
      <c r="AA17" s="27" t="n"/>
    </row>
    <row r="18">
      <c r="A18" s="28" t="inlineStr">
        <is>
          <t>Feedback Round 1</t>
        </is>
      </c>
      <c r="B18" s="29" t="inlineStr">
        <is>
          <t>Complete</t>
        </is>
      </c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2" t="n"/>
    </row>
    <row r="19">
      <c r="A19" s="28" t="inlineStr">
        <is>
          <t>Revisions Round 1</t>
        </is>
      </c>
      <c r="B19" s="29" t="inlineStr">
        <is>
          <t>Complete</t>
        </is>
      </c>
      <c r="Z19" s="30" t="n"/>
      <c r="AA19" s="33" t="n"/>
    </row>
    <row r="20">
      <c r="A20" s="28" t="inlineStr">
        <is>
          <t>Business Banking Page</t>
        </is>
      </c>
      <c r="B20" s="34" t="inlineStr">
        <is>
          <t>Not Started</t>
        </is>
      </c>
      <c r="AA20" s="27" t="n"/>
      <c r="AB20" s="35" t="n"/>
      <c r="AC20" s="35" t="n"/>
      <c r="AD20" s="35" t="n"/>
    </row>
    <row r="21">
      <c r="A21" s="28" t="inlineStr">
        <is>
          <t>Contact Us + FAQs</t>
        </is>
      </c>
      <c r="B21" s="34" t="inlineStr">
        <is>
          <t>Not Started</t>
        </is>
      </c>
      <c r="AA21" s="27" t="n"/>
      <c r="AB21" s="35" t="n"/>
      <c r="AC21" s="35" t="n"/>
      <c r="AD21" s="35" t="n"/>
    </row>
    <row r="22">
      <c r="A22" s="28" t="inlineStr">
        <is>
          <t>Blog + Privacy/Terms + Cookie</t>
        </is>
      </c>
      <c r="B22" s="34" t="inlineStr">
        <is>
          <t>Not Started</t>
        </is>
      </c>
      <c r="AA22" s="27" t="n"/>
      <c r="AD22" s="35" t="n"/>
      <c r="AE22" s="35" t="n"/>
      <c r="AF22" s="35" t="n"/>
    </row>
    <row r="23">
      <c r="A23" s="28" t="inlineStr">
        <is>
          <t>Figma Design System</t>
        </is>
      </c>
      <c r="B23" s="34" t="inlineStr">
        <is>
          <t>Not Started</t>
        </is>
      </c>
      <c r="AA23" s="27" t="n"/>
      <c r="AD23" s="36" t="n"/>
      <c r="AE23" s="36" t="n"/>
      <c r="AF23" s="36" t="n"/>
      <c r="AG23" s="36" t="n"/>
      <c r="AH23" s="36" t="n"/>
      <c r="AI23" s="36" t="n"/>
    </row>
    <row r="24">
      <c r="A24" s="28" t="inlineStr">
        <is>
          <t>AWAITING CLIENT (13 items)</t>
        </is>
      </c>
      <c r="B24" s="37" t="inlineStr">
        <is>
          <t>Blocked</t>
        </is>
      </c>
      <c r="AA24" s="38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</row>
    <row r="25">
      <c r="A25" s="28" t="inlineStr">
        <is>
          <t>Feedback Round 2</t>
        </is>
      </c>
      <c r="B25" s="34" t="inlineStr">
        <is>
          <t>Not Started</t>
        </is>
      </c>
      <c r="AA25" s="27" t="n"/>
      <c r="AG25" s="40" t="n"/>
      <c r="AH25" s="40" t="n"/>
      <c r="AI25" s="40" t="n"/>
    </row>
    <row r="26">
      <c r="A26" s="28" t="inlineStr">
        <is>
          <t>Feedback Round 3 (Final)</t>
        </is>
      </c>
      <c r="B26" s="34" t="inlineStr">
        <is>
          <t>Not Started</t>
        </is>
      </c>
      <c r="AA26" s="27" t="n"/>
      <c r="AK26" s="40" t="n"/>
      <c r="AL26" s="40" t="n"/>
      <c r="AM26" s="40" t="n"/>
      <c r="AN26" s="40" t="n"/>
    </row>
    <row r="27">
      <c r="A27" s="22" t="inlineStr">
        <is>
          <t>CONTENT &amp; LOCALIZATION</t>
        </is>
      </c>
      <c r="B27" s="26" t="inlineStr"/>
      <c r="AA27" s="27" t="n"/>
    </row>
    <row r="28">
      <c r="A28" s="28" t="inlineStr">
        <is>
          <t>Swahili Translation</t>
        </is>
      </c>
      <c r="B28" s="34" t="inlineStr">
        <is>
          <t>Not Started</t>
        </is>
      </c>
      <c r="AA28" s="27" t="n"/>
      <c r="AG28" s="36" t="n"/>
      <c r="AH28" s="36" t="n"/>
      <c r="AI28" s="36" t="n"/>
      <c r="AJ28" s="36" t="n"/>
      <c r="AK28" s="36" t="n"/>
      <c r="AL28" s="36" t="n"/>
      <c r="AM28" s="36" t="n"/>
    </row>
    <row r="29">
      <c r="A29" s="28" t="inlineStr">
        <is>
          <t>Branch Directory + Maps</t>
        </is>
      </c>
      <c r="B29" s="34" t="inlineStr">
        <is>
          <t>Not Started</t>
        </is>
      </c>
      <c r="AA29" s="27" t="n"/>
      <c r="AI29" s="36" t="n"/>
      <c r="AJ29" s="36" t="n"/>
      <c r="AK29" s="36" t="n"/>
      <c r="AL29" s="36" t="n"/>
    </row>
    <row r="30">
      <c r="A30" s="28" t="inlineStr">
        <is>
          <t>API Integrations</t>
        </is>
      </c>
      <c r="B30" s="34" t="inlineStr">
        <is>
          <t>Not Started</t>
        </is>
      </c>
      <c r="AA30" s="27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28" t="inlineStr">
        <is>
          <t>Final Content &amp; Media</t>
        </is>
      </c>
      <c r="B31" s="34" t="inlineStr">
        <is>
          <t>Not Started</t>
        </is>
      </c>
      <c r="AA31" s="27" t="n"/>
      <c r="AK31" s="36" t="n"/>
      <c r="AL31" s="36" t="n"/>
      <c r="AM31" s="36" t="n"/>
      <c r="AN31" s="36" t="n"/>
    </row>
    <row r="32">
      <c r="A32" s="22" t="inlineStr">
        <is>
          <t>TESTING &amp; QA</t>
        </is>
      </c>
      <c r="B32" s="26" t="inlineStr"/>
      <c r="AA32" s="27" t="n"/>
    </row>
    <row r="33">
      <c r="A33" s="28" t="inlineStr">
        <is>
          <t>Cross-Browser Testing</t>
        </is>
      </c>
      <c r="B33" s="34" t="inlineStr">
        <is>
          <t>Not Started</t>
        </is>
      </c>
      <c r="AA33" s="27" t="n"/>
      <c r="AP33" s="41" t="n"/>
      <c r="AQ33" s="41" t="n"/>
      <c r="AR33" s="41" t="n"/>
    </row>
    <row r="34">
      <c r="A34" s="28" t="inlineStr">
        <is>
          <t>SEO &amp; Performance</t>
        </is>
      </c>
      <c r="B34" s="34" t="inlineStr">
        <is>
          <t>Not Started</t>
        </is>
      </c>
      <c r="AA34" s="27" t="n"/>
      <c r="AP34" s="41" t="n"/>
      <c r="AQ34" s="41" t="n"/>
      <c r="AR34" s="41" t="n"/>
      <c r="AS34" s="41" t="n"/>
    </row>
    <row r="35">
      <c r="A35" s="28" t="inlineStr">
        <is>
          <t>Security &amp; BOT Compliance</t>
        </is>
      </c>
      <c r="B35" s="34" t="inlineStr">
        <is>
          <t>Not Started</t>
        </is>
      </c>
      <c r="AA35" s="27" t="n"/>
      <c r="AS35" s="41" t="n"/>
      <c r="AT35" s="41" t="n"/>
      <c r="AU35" s="41" t="n"/>
    </row>
    <row r="36">
      <c r="A36" s="28" t="inlineStr">
        <is>
          <t>UAT with CoopBank</t>
        </is>
      </c>
      <c r="B36" s="34" t="inlineStr">
        <is>
          <t>Not Started</t>
        </is>
      </c>
      <c r="AA36" s="27" t="n"/>
      <c r="AU36" s="41" t="n"/>
      <c r="AV36" s="41" t="n"/>
      <c r="AW36" s="41" t="n"/>
    </row>
    <row r="37">
      <c r="A37" s="22" t="inlineStr">
        <is>
          <t>GO-LIVE &amp; HANDOVER</t>
        </is>
      </c>
      <c r="B37" s="26" t="inlineStr"/>
      <c r="AA37" s="27" t="n"/>
    </row>
    <row r="38">
      <c r="A38" s="28" t="inlineStr">
        <is>
          <t>DNS Migration &amp; Launch</t>
        </is>
      </c>
      <c r="B38" s="34" t="inlineStr">
        <is>
          <t>Not Started</t>
        </is>
      </c>
      <c r="AA38" s="27" t="n"/>
      <c r="AW38" s="42" t="n"/>
      <c r="AX38" s="42" t="n"/>
      <c r="AY38" s="42" t="n"/>
    </row>
    <row r="39">
      <c r="A39" s="28" t="inlineStr">
        <is>
          <t>Staff Training</t>
        </is>
      </c>
      <c r="B39" s="34" t="inlineStr">
        <is>
          <t>Not Started</t>
        </is>
      </c>
      <c r="AA39" s="27" t="n"/>
      <c r="AY39" s="42" t="n"/>
      <c r="AZ39" s="42" t="n"/>
      <c r="BA39" s="42" t="n"/>
    </row>
    <row r="40">
      <c r="A40" s="28" t="inlineStr">
        <is>
          <t>Post-Launch Monitoring (30d)</t>
        </is>
      </c>
      <c r="B40" s="34" t="inlineStr">
        <is>
          <t>Not Started</t>
        </is>
      </c>
      <c r="AA40" s="27" t="n"/>
      <c r="BA40" s="42" t="n"/>
      <c r="BB40" s="42" t="n"/>
      <c r="BC40" s="42" t="n"/>
      <c r="BD40" s="42" t="n"/>
      <c r="BE40" s="42" t="n"/>
      <c r="BF40" s="42" t="n"/>
      <c r="BG40" s="42" t="n"/>
      <c r="BH40" s="42" t="n"/>
      <c r="BI40" s="42" t="n"/>
      <c r="BJ40" s="42" t="n"/>
      <c r="BK40" s="42" t="n"/>
      <c r="BL40" s="42" t="n"/>
      <c r="BM40" s="42" t="n"/>
      <c r="BN40" s="42" t="n"/>
      <c r="BO40" s="42" t="n"/>
      <c r="BP40" s="42" t="n"/>
      <c r="BQ40" s="42" t="n"/>
      <c r="BR40" s="42" t="n"/>
      <c r="BS40" s="42" t="n"/>
      <c r="BT40" s="42" t="n"/>
      <c r="BU40" s="42" t="n"/>
      <c r="BV40" s="42" t="n"/>
      <c r="BW40" s="42" t="n"/>
      <c r="BX40" s="42" t="n"/>
      <c r="BY40" s="42" t="n"/>
      <c r="BZ40" s="42" t="n"/>
      <c r="CA40" s="42" t="n"/>
      <c r="CB40" s="42" t="n"/>
      <c r="CC40" s="4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2" customWidth="1" min="3" max="3"/>
    <col width="15" customWidth="1" min="4" max="4"/>
    <col width="20" customWidth="1" min="5" max="5"/>
    <col width="20" customWidth="1" min="6" max="6"/>
    <col width="18" customWidth="1" min="7" max="7"/>
  </cols>
  <sheetData>
    <row r="1">
      <c r="A1" s="1" t="inlineStr">
        <is>
          <t>Activity Log — Track status changes here</t>
        </is>
      </c>
    </row>
    <row r="2">
      <c r="A2" s="6" t="inlineStr">
        <is>
          <t>Date</t>
        </is>
      </c>
      <c r="B2" s="6" t="inlineStr">
        <is>
          <t>Task ID</t>
        </is>
      </c>
      <c r="C2" s="6" t="inlineStr">
        <is>
          <t>Task Name</t>
        </is>
      </c>
      <c r="D2" s="6" t="inlineStr">
        <is>
          <t>Field</t>
        </is>
      </c>
      <c r="E2" s="6" t="inlineStr">
        <is>
          <t>Old Value</t>
        </is>
      </c>
      <c r="F2" s="6" t="inlineStr">
        <is>
          <t>New Value</t>
        </is>
      </c>
      <c r="G2" s="6" t="inlineStr">
        <is>
          <t>Changed By</t>
        </is>
      </c>
    </row>
    <row r="3">
      <c r="A3" s="7" t="inlineStr">
        <is>
          <t>2026-03-26</t>
        </is>
      </c>
      <c r="B3" s="7" t="inlineStr">
        <is>
          <t>-</t>
        </is>
      </c>
      <c r="C3" s="7" t="inlineStr">
        <is>
          <t>Project Tracker Created</t>
        </is>
      </c>
      <c r="D3" s="7" t="inlineStr">
        <is>
          <t>Setup</t>
        </is>
      </c>
      <c r="E3" s="7" t="inlineStr">
        <is>
          <t>-</t>
        </is>
      </c>
      <c r="F3" s="7" t="inlineStr">
        <is>
          <t>All tasks imported from CRM</t>
        </is>
      </c>
      <c r="G3" s="7" t="inlineStr">
        <is>
          <t>System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4899"/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5" customWidth="1" min="3" max="3"/>
    <col width="20" customWidth="1" min="4" max="4"/>
    <col width="42" customWidth="1" min="5" max="5"/>
  </cols>
  <sheetData>
    <row r="1">
      <c r="A1" s="1" t="inlineStr">
        <is>
          <t>Project Stakeholders</t>
        </is>
      </c>
    </row>
    <row r="2">
      <c r="A2" s="6" t="inlineStr">
        <is>
          <t>Name</t>
        </is>
      </c>
      <c r="B2" s="6" t="inlineStr">
        <is>
          <t>Email</t>
        </is>
      </c>
      <c r="C2" s="6" t="inlineStr">
        <is>
          <t>Role</t>
        </is>
      </c>
      <c r="D2" s="6" t="inlineStr">
        <is>
          <t>Organization</t>
        </is>
      </c>
      <c r="E2" s="6" t="inlineStr">
        <is>
          <t>Key Responsibility</t>
        </is>
      </c>
    </row>
    <row r="3">
      <c r="A3" s="43" t="inlineStr">
        <is>
          <t>Jumbe Seleman</t>
        </is>
      </c>
      <c r="B3" s="7" t="inlineStr">
        <is>
          <t>jumbenylon@gmail.com</t>
        </is>
      </c>
      <c r="C3" s="7" t="inlineStr">
        <is>
          <t>Lead Developer</t>
        </is>
      </c>
      <c r="D3" s="7" t="inlineStr">
        <is>
          <t>Saccura Group</t>
        </is>
      </c>
      <c r="E3" s="7" t="inlineStr">
        <is>
          <t>Full-stack dev, architecture, deployment</t>
        </is>
      </c>
    </row>
    <row r="4">
      <c r="A4" s="44" t="inlineStr">
        <is>
          <t>Mwana Neema Semboja</t>
        </is>
      </c>
      <c r="B4" s="9" t="inlineStr">
        <is>
          <t>neema.semboja@sakuragroup.co.tz</t>
        </is>
      </c>
      <c r="C4" s="9" t="inlineStr">
        <is>
          <t>Project Manager</t>
        </is>
      </c>
      <c r="D4" s="9" t="inlineStr">
        <is>
          <t>Saccura Group</t>
        </is>
      </c>
      <c r="E4" s="9" t="inlineStr">
        <is>
          <t>Client liaison, content, PM</t>
        </is>
      </c>
    </row>
    <row r="5">
      <c r="A5" s="45" t="inlineStr">
        <is>
          <t>Oscar Rubasha</t>
        </is>
      </c>
      <c r="B5" s="7" t="inlineStr">
        <is>
          <t>Oscar.Ruhasha@cbtbank.co.tz</t>
        </is>
      </c>
      <c r="C5" s="7" t="inlineStr">
        <is>
          <t>Main Feedback Contact</t>
        </is>
      </c>
      <c r="D5" s="7" t="inlineStr">
        <is>
          <t>CBT Bank</t>
        </is>
      </c>
      <c r="E5" s="7" t="inlineStr">
        <is>
          <t>Primary reviewer — all feedback through Oscar</t>
        </is>
      </c>
    </row>
    <row r="6">
      <c r="A6" s="9" t="inlineStr">
        <is>
          <t>Moses Mpakasi</t>
        </is>
      </c>
      <c r="B6" s="9" t="inlineStr">
        <is>
          <t>Moses.Mpakasi@cbtbank.co.tz</t>
        </is>
      </c>
      <c r="C6" s="9" t="inlineStr">
        <is>
          <t>Key Stakeholder</t>
        </is>
      </c>
      <c r="D6" s="9" t="inlineStr">
        <is>
          <t>CBT Bank</t>
        </is>
      </c>
      <c r="E6" s="9" t="inlineStr"/>
    </row>
    <row r="7">
      <c r="A7" s="7" t="inlineStr">
        <is>
          <t>Yahya Kinabo</t>
        </is>
      </c>
      <c r="B7" s="7" t="inlineStr">
        <is>
          <t>Yahya.Kiyabo@cbtbank.co.tz</t>
        </is>
      </c>
      <c r="C7" s="7" t="inlineStr">
        <is>
          <t>Key Stakeholder</t>
        </is>
      </c>
      <c r="D7" s="7" t="inlineStr">
        <is>
          <t>CBT Bank</t>
        </is>
      </c>
      <c r="E7" s="7" t="inlineStr"/>
    </row>
    <row r="8">
      <c r="A8" s="9" t="inlineStr">
        <is>
          <t>Martin Malopa</t>
        </is>
      </c>
      <c r="B8" s="9" t="inlineStr">
        <is>
          <t>Martin.Malopa@cbtbank.co.tz</t>
        </is>
      </c>
      <c r="C8" s="9" t="inlineStr">
        <is>
          <t>Key Stakeholder</t>
        </is>
      </c>
      <c r="D8" s="9" t="inlineStr">
        <is>
          <t>CBT Bank</t>
        </is>
      </c>
      <c r="E8" s="9" t="inlineStr"/>
    </row>
    <row r="9">
      <c r="A9" s="7" t="inlineStr">
        <is>
          <t>Geoffrey Nangai</t>
        </is>
      </c>
      <c r="B9" s="7" t="inlineStr">
        <is>
          <t>Geoffrey.Nangai@cbtbank.co.tz</t>
        </is>
      </c>
      <c r="C9" s="7" t="inlineStr">
        <is>
          <t>Key Stakeholder</t>
        </is>
      </c>
      <c r="D9" s="7" t="inlineStr">
        <is>
          <t>CBT Bank</t>
        </is>
      </c>
      <c r="E9" s="7" t="inlineStr"/>
    </row>
    <row r="10">
      <c r="A10" s="9" t="inlineStr">
        <is>
          <t>Tecla Muchunguzi</t>
        </is>
      </c>
      <c r="B10" s="9" t="inlineStr">
        <is>
          <t>Tecla.Muchunguzi@cbtbank.co.tz</t>
        </is>
      </c>
      <c r="C10" s="9" t="inlineStr">
        <is>
          <t>Key Stakeholder</t>
        </is>
      </c>
      <c r="D10" s="9" t="inlineStr">
        <is>
          <t>CBT Bank</t>
        </is>
      </c>
      <c r="E10" s="9" t="inlineStr"/>
    </row>
    <row r="11">
      <c r="A11" s="7" t="inlineStr">
        <is>
          <t>Samson Msangi</t>
        </is>
      </c>
      <c r="B11" s="7" t="inlineStr">
        <is>
          <t>Samson.Msangi@cbtbank.co.tz</t>
        </is>
      </c>
      <c r="C11" s="7" t="inlineStr">
        <is>
          <t>Key Stakeholder</t>
        </is>
      </c>
      <c r="D11" s="7" t="inlineStr">
        <is>
          <t>CBT Bank</t>
        </is>
      </c>
      <c r="E11" s="7" t="inlineStr"/>
    </row>
    <row r="12">
      <c r="A12" s="9" t="inlineStr">
        <is>
          <t>Hemed Nassor</t>
        </is>
      </c>
      <c r="B12" s="9" t="inlineStr">
        <is>
          <t>Hemed.Nassor@cbtbank.co.tz</t>
        </is>
      </c>
      <c r="C12" s="9" t="inlineStr">
        <is>
          <t>Primary Contact</t>
        </is>
      </c>
      <c r="D12" s="9" t="inlineStr">
        <is>
          <t>CBT Bank</t>
        </is>
      </c>
      <c r="E12" s="9" t="inlineStr"/>
    </row>
    <row r="13">
      <c r="A13" s="7" t="inlineStr">
        <is>
          <t>Robin Makwabe</t>
        </is>
      </c>
      <c r="B13" s="7" t="inlineStr">
        <is>
          <t>Robin.Makwabe@cbtbank.co.tz</t>
        </is>
      </c>
      <c r="C13" s="7" t="inlineStr">
        <is>
          <t>Stakeholder (CC)</t>
        </is>
      </c>
      <c r="D13" s="7" t="inlineStr">
        <is>
          <t>CBT Bank</t>
        </is>
      </c>
      <c r="E13" s="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2026-03-26T19:33:11Z</dcterms:created>
  <dcterms:modified xmlns:dcterms="http://purl.org/dc/terms/" xmlns:xsi="http://www.w3.org/2001/XMLSchema-instance" xsi:type="dcterms:W3CDTF">2026-03-26T19:33:11Z</dcterms:modified>
</cp:coreProperties>
</file>